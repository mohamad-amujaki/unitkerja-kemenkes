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hamadarifmujaki/Development/unitkerja-kemenkes/docs/"/>
    </mc:Choice>
  </mc:AlternateContent>
  <xr:revisionPtr revIDLastSave="0" documentId="13_ncr:1_{9D8F5257-7B95-1F42-8165-A15D885189AA}" xr6:coauthVersionLast="47" xr6:coauthVersionMax="47" xr10:uidLastSave="{00000000-0000-0000-0000-000000000000}"/>
  <bookViews>
    <workbookView xWindow="1500" yWindow="1400" windowWidth="27640" windowHeight="16680" xr2:uid="{7A993BE4-ED12-C144-BCE1-86D3F4162D2D}"/>
  </bookViews>
  <sheets>
    <sheet name="Detail UPT" sheetId="2" r:id="rId1"/>
    <sheet name="Peta UPT per Provinsi" sheetId="1" r:id="rId2"/>
  </sheets>
  <externalReferences>
    <externalReference r:id="rId3"/>
  </externalReferences>
  <definedNames>
    <definedName name="_xlchart.v5.0" hidden="1">'Peta UPT per Provinsi'!$A$4</definedName>
    <definedName name="_xlchart.v5.1" hidden="1">'Peta UPT per Provinsi'!$A$5:$A$40</definedName>
    <definedName name="_xlchart.v5.2" hidden="1">'Peta UPT per Provinsi'!$B$4</definedName>
    <definedName name="_xlchart.v5.3" hidden="1">'Peta UPT per Provinsi'!$B$5:$B$40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 a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<sst xmlns="http://schemas.openxmlformats.org/spreadsheetml/2006/main" count="1197" uniqueCount="544">
  <si>
    <t>Judul</t>
  </si>
  <si>
    <t>Peta Persebaran Unit Kerja per Provinsi — Ditjen SDM Kesehatan Kemenkes</t>
  </si>
  <si>
    <t>Nama Provinsi (untuk Peta)</t>
  </si>
  <si>
    <t>Jumlah Unit Kerja</t>
  </si>
  <si>
    <t>Nama Provinsi (sesuai kolom Provinsi di Laporan Data)</t>
  </si>
  <si>
    <t>Aceh</t>
  </si>
  <si>
    <t>Bali</t>
  </si>
  <si>
    <t>Banten</t>
  </si>
  <si>
    <t>Bengkulu</t>
  </si>
  <si>
    <t>Yogyakarta</t>
  </si>
  <si>
    <t>DI Yogyakarta</t>
  </si>
  <si>
    <t>Jakarta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</si>
  <si>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</si>
  <si>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</si>
  <si>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</si>
  <si>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</si>
  <si>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</si>
  <si>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</si>
  <si>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</si>
  <si>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</si>
  <si>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</si>
  <si>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</si>
  <si>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</si>
  <si>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</si>
  <si>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</si>
  <si>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</si>
  <si>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</si>
  <si>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</si>
  <si>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</si>
  <si>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</si>
  <si>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</si>
  <si>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</si>
  <si>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</si>
  <si>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Selatan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</si>
  <si>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</si>
  <si>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</si>
  <si>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</si>
  <si>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</si>
  <si>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</si>
  <si>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</si>
  <si>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</si>
  <si>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</si>
  <si>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</si>
  <si>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Total</t>
  </si>
  <si>
    <t>Catatan:</t>
  </si>
  <si>
    <t>1) Filled Map Excel menggunakan data geografis Bing, yang mungkin belum mengenali provinsi hasil pemekaran Papua 2022 (Papua Barat Daya, Papua Selatan) secara terpisah — unit di provinsi tersebut bisa jadi tidak terwarnai pada peta meski jumlahnya tetap benar di tabel.</t>
  </si>
  <si>
    <t>2) Kolom C adalah kolom bantu untuk mencocokkan nama provinsi dengan kolom Provinsi di sheet 'Laporan Data'; jangan dihapus karena formula kolom B bergantung padanya.</t>
  </si>
  <si>
    <t>No</t>
  </si>
  <si>
    <t>Unit Eselon I</t>
  </si>
  <si>
    <t>Nama Unit Kerja</t>
  </si>
  <si>
    <t>Alamat Kantor</t>
  </si>
  <si>
    <t>Provinsi</t>
  </si>
  <si>
    <t>Sumber</t>
  </si>
  <si>
    <t>Ditjen SDM Kesehatan</t>
  </si>
  <si>
    <t>Sekretariat Direktorat Jenderal Sumber Daya Manusia Kesehatan</t>
  </si>
  <si>
    <t>Jl. Hang Jebat III Blok F3, Kebayoran Baru, Jakarta Selatan 12120</t>
  </si>
  <si>
    <t>Direktorat Perencanaan Sumber Daya Manusia Kesehatan</t>
  </si>
  <si>
    <t>Direktorat Penyediaan Sumber Daya Manusia Kesehatan</t>
  </si>
  <si>
    <t>Direktorat Pendayagunaan Sumber Daya Manusia Kesehatan</t>
  </si>
  <si>
    <t>Direktorat Mutu Sumber Daya Manusia Kesehatan</t>
  </si>
  <si>
    <t>Direktorat Pembinaan dan Pengawasan Sumber Daya Manusia Kesehatan</t>
  </si>
  <si>
    <t>Poltekkes Kemenkes Bandung</t>
  </si>
  <si>
    <t>Jl. Pajajaran No. 56, Kota Bandung, Jawa Barat</t>
  </si>
  <si>
    <t>Poltekkes Kemenkes Jakarta III</t>
  </si>
  <si>
    <t>Jl. Arteri JORR Jatiwarna, Pondok Melati, Kota Bekasi, Jawa Barat 17415</t>
  </si>
  <si>
    <t>Poltekkes Kemenkes Jakarta III, http://www.poltekkesjakarta3.ac.id/jakarta3/</t>
  </si>
  <si>
    <t>Poltekkes Kemenkes Makassar</t>
  </si>
  <si>
    <t>Jl. Wijaya Kusuma No. 46, Kota Makassar, Sulawesi Selatan</t>
  </si>
  <si>
    <t>Poltekkes Kemenkes Malang</t>
  </si>
  <si>
    <t>Jl. Besar Ijen No. 77C, Kota Malang, Jawa Timur 65112</t>
  </si>
  <si>
    <t>Poltekkes Kemenkes Malang, https://www.poltekkes-malang.ac.id/</t>
  </si>
  <si>
    <t>Poltekkes Kemenkes Medan</t>
  </si>
  <si>
    <t>Jl. Jamin Ginting No. 135, Kota Medan, Sumatera Utara</t>
  </si>
  <si>
    <t>Poltekkes Kemenkes Semarang</t>
  </si>
  <si>
    <t>Jl. Tirto Agung, Pedalangan, Banyumanik, Kota Semarang, Jawa Tengah</t>
  </si>
  <si>
    <t>Poltekkes Kemenkes Surabaya</t>
  </si>
  <si>
    <t>Jl. Pucang Jajar Tengah No. 56, Kota Surabaya, Jawa Timur</t>
  </si>
  <si>
    <t>Poltekkes Kemenkes Surakarta</t>
  </si>
  <si>
    <t>Jl. Letjend Sutoyo, Mojosongo, Kota Surakarta, Jawa Tengah 57127</t>
  </si>
  <si>
    <t>Poltekkes Kemenkes Surakarta, https://www.poltekkes-solo.ac.id/</t>
  </si>
  <si>
    <t>Poltekkes Kemenkes Tasikmalaya</t>
  </si>
  <si>
    <t>Jl. Babakan Siliwangi No. 35, Kabupaten Tasikmalaya, Jawa Barat</t>
  </si>
  <si>
    <t>Poltekkes Kemenkes Yogyakarta</t>
  </si>
  <si>
    <t>Jl. Tatabumi No. 3, Banyuraden, Gamping, Sleman, D.I. Yogyakarta 55293</t>
  </si>
  <si>
    <t>Poltekkes Kemenkes Yogyakarta, https://poltekkesjogja.ac.id/</t>
  </si>
  <si>
    <t>Poltekkes Kemenkes Aceh</t>
  </si>
  <si>
    <t>Jl. Soekarno-Hatta, Lagang, Kec. Darul Imarah, Kabupaten Aceh Besar, Aceh 23231</t>
  </si>
  <si>
    <t>Poltekkes Kemenkes Aceh, https://poltekkesaceh.ac.id/contact-us/</t>
  </si>
  <si>
    <t>Poltekkes Kemenkes Banjarmasin</t>
  </si>
  <si>
    <t>Jl. Mistar Cokrokusumo No. 1A, Banjarbaru, Kalimantan Selatan 70714</t>
  </si>
  <si>
    <t>Poltekkes Kemenkes Banjarmasin, https://poltekkes-banjarmasin.ac.id/</t>
  </si>
  <si>
    <t>Poltekkes Kemenkes Banten</t>
  </si>
  <si>
    <t>Jl. Syekh Nawawi Al-Bantani, Kota Serang, Banten</t>
  </si>
  <si>
    <t>Poltekkes Kemenkes Bengkulu</t>
  </si>
  <si>
    <t>Jl. Indragiri No. 3, Padang Harapan, Kec. Gading Cempaka, Kota Bengkulu, Bengkulu 38225</t>
  </si>
  <si>
    <t>Poltekkes Kemenkes Bengkulu, https://poltekkesbengkulu.ac.id/</t>
  </si>
  <si>
    <t>Poltekkes Kemenkes Denpasar</t>
  </si>
  <si>
    <t>Jl. Sanitasi No. 1, Sidakarya, Kota Denpasar, Bali</t>
  </si>
  <si>
    <t>Poltekkes Kemenkes Denpasar, https://www.poltekkes-denpasar.ac.id/</t>
  </si>
  <si>
    <t>Poltekkes Kemenkes Jakarta I</t>
  </si>
  <si>
    <t>Jl. Wijayakusuma Raya No. 47-48, Cilandak, Jakarta Selatan</t>
  </si>
  <si>
    <t>Poltekkes Kemenkes Jakarta I, https://www.poltekkesjakarta1.ac.id/</t>
  </si>
  <si>
    <t>Poltekkes Kemenkes Jakarta II</t>
  </si>
  <si>
    <t>Jl. Hang Jebat III No. 4, Kebayoran Baru, Jakarta Selatan</t>
  </si>
  <si>
    <t>Poltekkes Kemenkes Jayapura</t>
  </si>
  <si>
    <t>Jl. Masuk Poltekkes Padang Bulan No. 2, RW.2, Hedam, Kec. Heram, Kota Jayapura, Papua</t>
  </si>
  <si>
    <t>Poltekkes Kemenkes Jayapura, http://poltekkesjayapura.ac.id/</t>
  </si>
  <si>
    <t>Poltekkes Kemenkes Kalimantan Timur</t>
  </si>
  <si>
    <t>Jl. Wolter Monginsidi No. 38, Kota Samarinda, Kalimantan Timur</t>
  </si>
  <si>
    <t>Poltekkes Kemenkes Kendari</t>
  </si>
  <si>
    <t>Jl. A.H. Nasution No. 14, Kota Kendari, Sulawesi Tenggara</t>
  </si>
  <si>
    <t>Poltekkes Kemenkes Kupang</t>
  </si>
  <si>
    <t>Jl. R.A. Kartini, Kota Kupang, Nusa Tenggara Timur</t>
  </si>
  <si>
    <t>Poltekkes Kemenkes Manado</t>
  </si>
  <si>
    <t>Jl. Wolter Monginsidi, Malalayang, Kota Manado, Sulawesi Utara</t>
  </si>
  <si>
    <t>Poltekkes Kemenkes Padang</t>
  </si>
  <si>
    <t>Jl. Simpang Pondok Kopi, Kec. Nanggalo, Kota Padang, Sumatera Barat 25146</t>
  </si>
  <si>
    <t>Poltekkes Kemenkes Padang, https://www.poltekkes-pdg.ac.id/</t>
  </si>
  <si>
    <t>Poltekkes Kemenkes Palembang</t>
  </si>
  <si>
    <t>Jl. Jenderal Sudirman KM 3,5 No. 1365, Kel. Sekip Jaya, Kec. Kemuning, Kota Palembang, Sumatera Selatan</t>
  </si>
  <si>
    <t>Poltekkes Kemenkes Palembang, https://poltekkespalembang.ac.id/</t>
  </si>
  <si>
    <t>Poltekkes Kemenkes Pontianak</t>
  </si>
  <si>
    <t>Jl. 28 Oktober, Siantan Hilir, Pontianak Utara, Kota Pontianak, Kalimantan Barat 78122</t>
  </si>
  <si>
    <t>Poltekkes Kemenkes Pontianak, http://poltekkes-pontianak.ac.id/</t>
  </si>
  <si>
    <t>Poltekkes Kemenkes Tanjung Karang</t>
  </si>
  <si>
    <t>Jl. Soekarno-Hatta No. 6, Bandar Lampung, Lampung</t>
  </si>
  <si>
    <t>Poltekkes Kemenkes Tanjungkarang, http://poltekkes-tjk.ac.id/</t>
  </si>
  <si>
    <t>Poltekkes Kemenkes Gorontalo</t>
  </si>
  <si>
    <t>Jl. Taman Pendidikan, Kota Gorontalo, Gorontalo</t>
  </si>
  <si>
    <t>Poltekkes Kemenkes Jambi</t>
  </si>
  <si>
    <t>Jl. H. Agus Salim No. 09, Kota Jambi, Jambi</t>
  </si>
  <si>
    <t>Poltekkes Kemenkes Jambi, https://poltekkesjambi.ac.id/</t>
  </si>
  <si>
    <t>Poltekkes Kemenkes Maluku</t>
  </si>
  <si>
    <t>Jl. Laksdya Leo Wattimena, Kota Ambon, Maluku</t>
  </si>
  <si>
    <t>Poltekkes Kemenkes Mamuju</t>
  </si>
  <si>
    <t>Jl. Poros Mamuju No. 16, Kabupaten Mamuju, Sulawesi Barat</t>
  </si>
  <si>
    <t>Poltekkes Kemenkes Mataram</t>
  </si>
  <si>
    <t>Jl. Prabu Rangkasari, Dasan Cermen, Kota Mataram, Nusa Tenggara Barat</t>
  </si>
  <si>
    <t>Poltekkes Kemenkes Palangkaraya</t>
  </si>
  <si>
    <t>Jl. George Obos No. 30, Kota Palangka Raya, Kalimantan Tengah</t>
  </si>
  <si>
    <t>Poltekkes Kemenkes Palu</t>
  </si>
  <si>
    <t>Jl. Thalua Konchi No. 19, Mamboro, Kec. Palu Utara, Kota Palu, Sulawesi Tengah 94145</t>
  </si>
  <si>
    <t>Poltekkes Kemenkes Palu, https://poltekkespalu.ac.id/</t>
  </si>
  <si>
    <t>Poltekkes Kemenkes Pangkal Pinang</t>
  </si>
  <si>
    <t>Jl. Telaga Biru I, Desa Padang Baru, Kec. Pangkalanbaru, Kabupaten Bangka Tengah</t>
  </si>
  <si>
    <t>Poltekkes Kemenkes Pangkalpinang, https://poltekkespangkalpinang.ac.id/</t>
  </si>
  <si>
    <t>Poltekkes Kemenkes Riau</t>
  </si>
  <si>
    <t>Jl. Melur No. 103, Kota Pekanbaru, Riau</t>
  </si>
  <si>
    <t>Poltekkes Kemenkes Sorong</t>
  </si>
  <si>
    <t>Jl. Basuki Rahmat Km. 11,5, Klawalu, Kota Sorong, Papua Barat Daya</t>
  </si>
  <si>
    <t>Poltekkes Kemenkes Sorong, https://poltekkessorong.ac.id/</t>
  </si>
  <si>
    <t>Poltekkes Kemenkes Tanjungpinang</t>
  </si>
  <si>
    <t>Jl. Arif Rahman Hakim, Kota Tanjungpinang, Kepulauan Riau 29113</t>
  </si>
  <si>
    <t>Poltekkes Kemenkes Tanjungpinang, http://poltekkes-tanjungpinang.ac.id/</t>
  </si>
  <si>
    <t>Poltekkes Kemenkes Ternate</t>
  </si>
  <si>
    <t>Jl. Cempaka, Kota Ternate, Maluku Utara</t>
  </si>
  <si>
    <t>Sekretariat Konsil Kesehatan Indonesia, Kolegium Kesehatan Indonesia, dan Majelis Disiplin Profesi</t>
  </si>
  <si>
    <t>Jl. Hang Jebat Blok F3, RT.5/RW.8, Gunung, Kec. Kebayoran Baru, Jakarta Selatan 12120</t>
  </si>
  <si>
    <t>Konsil Kesehatan Indonesia, https://kki.go.id/kontak</t>
  </si>
  <si>
    <t>Ditjen Farmalkes</t>
  </si>
  <si>
    <t>Sekretariat Direktorat Jenderal Farmasi dan Alat Kesehatan</t>
  </si>
  <si>
    <t>Jl. H.R. Rasuna Said Blok X-5 Kav. 4-9, Kuningan, Jakarta Selatan 12950</t>
  </si>
  <si>
    <t>Direktorat Ketahanan Farmasi dan Alat Kesehatan</t>
  </si>
  <si>
    <t>Direktorat Produksi dan Distribusi Farmasi</t>
  </si>
  <si>
    <t>Direktorat Produksi dan Distribusi Alat Kesehatan</t>
  </si>
  <si>
    <t>Direktorat Pengelolaan dan Pelayanan Farmasi</t>
  </si>
  <si>
    <t>Direktorat Pengawasan Alat Kesehatan</t>
  </si>
  <si>
    <t>Balai Pengamanan Alat dan Fasilitas Kesehatan Jakarta</t>
  </si>
  <si>
    <t>Jl. Percetakan Negara No. 23A, RT.23/RW.7, Jakarta Pusat</t>
  </si>
  <si>
    <t>Ditjen Farmalkes Kemenkes (UPT PAFK), https://farmalkes.kemkes.go.id/pafk/</t>
  </si>
  <si>
    <t>Balai Pengamanan Alat dan Fasilitas Kesehatan Surabaya</t>
  </si>
  <si>
    <t>Jl. Karang Menjangan No. 22, Airlangga, Gubeng, Surabaya, Jawa Timur</t>
  </si>
  <si>
    <t>Balai Pengamanan Alat dan Fasilitas Kesehatan Medan</t>
  </si>
  <si>
    <t>Jl. K.H. Wahid Hasyim No. 15, Merdeka, Medan Baru, Kota Medan, Sumatera Utara</t>
  </si>
  <si>
    <t>Balai Pengamanan Alat dan Fasilitas Kesehatan Makassar</t>
  </si>
  <si>
    <t>Jl. Perintis Kemerdekaan KM.11, Tamalanrea, Makassar, Sulawesi Selatan</t>
  </si>
  <si>
    <t>Balai Pengamanan Alat dan Fasilitas Kesehatan Surakarta</t>
  </si>
  <si>
    <t>Jl. Sindoro Raya, Ring Road No. Km 1, Mojosongo, Kec. Jebres, Surakarta, Jawa Tengah 57127</t>
  </si>
  <si>
    <t>Loka Pengamanan Alat dan Fasilitas Kesehatan Banjarbaru</t>
  </si>
  <si>
    <t>Jl. Banua Praja Utara, Palam, Banjarbaru, Kalimantan Selatan</t>
  </si>
  <si>
    <t>Ditjen Kesprimkom</t>
  </si>
  <si>
    <t>Sekretariat Direktorat Jenderal Kesehatan Primer dan Komunitas</t>
  </si>
  <si>
    <t>Direktorat Promosi Kesehatan dan Kesehatan Komunitas</t>
  </si>
  <si>
    <t>Direktorat Pelayanan Kesehatan Keluarga</t>
  </si>
  <si>
    <t>Direktorat Pelayanan Kesehatan Kelompok Rentan</t>
  </si>
  <si>
    <t>Direktorat Tata Kelola Pelayanan Kesehatan Primer</t>
  </si>
  <si>
    <t>Direktorat Fasilitas dan Mutu Pelayanan Kesehatan Primer</t>
  </si>
  <si>
    <t>Balai Besar Laboratorium Biologi Kesehatan</t>
  </si>
  <si>
    <t>Jl. Percetakan Negara II No. 23, Jakarta Pusat 10560</t>
  </si>
  <si>
    <t>Balai Besar Laboratorium Biologi Kesehatan, https://bblabbiokes.go.id/</t>
  </si>
  <si>
    <t>Balai Besar Laboratorium Kesehatan Masyarakat Surabaya</t>
  </si>
  <si>
    <t>Jl. Karangmenjangan No. 18, Surabaya 60286</t>
  </si>
  <si>
    <t>BB Labkesmas Surabaya, https://bblabkesmas-surabaya.go.id/</t>
  </si>
  <si>
    <t>Balai Besar Laboratorium Kesehatan Masyarakat Yogyakarta</t>
  </si>
  <si>
    <t>Jl. Imogiri Timur Km. 7,5, Wirokerten, Banguntapan, Bantul, D.I. Yogyakarta</t>
  </si>
  <si>
    <t>BB Labkesmas Yogyakarta, https://bblabkesmasyogyakarta.go.id/</t>
  </si>
  <si>
    <t>Balai Besar Laboratorium Kesehatan Masyarakat Palembang</t>
  </si>
  <si>
    <t>Jl. Inspektur Yazid No. 2 Km 2.5, Palembang</t>
  </si>
  <si>
    <t>BB Labkesmas Palembang (Instagram resmi @bblkmpalembang), https://www.instagram.com/bblkmpalembang/</t>
  </si>
  <si>
    <t>Balai Besar Laboratorium Kesehatan Masyarakat Jakarta</t>
  </si>
  <si>
    <t>Jl. Bambu Apus Raya No. 6, RT.12/RW.3, Bambu Apus, Kec. Cipayung, Jakarta Timur 13890</t>
  </si>
  <si>
    <t>BB Labkesmas Jakarta, https://bblkmjakarta.org/</t>
  </si>
  <si>
    <t>Balai Besar Laboratorium Kesehatan Masyarakat Banjarbaru</t>
  </si>
  <si>
    <t>Jl. H. Mistar Cokrokusumo No. 2A, Banjarbaru, Kalimantan Selatan</t>
  </si>
  <si>
    <t>BB Labkesmas Banjarbaru, https://bblabkesmasbanjarbaru.com/</t>
  </si>
  <si>
    <t>Balai Besar Laboratorium Kesehatan Masyarakat Makassar</t>
  </si>
  <si>
    <t>Jl. Perintis Kemerdekaan KM 11, Kel. Tamalanrea, Kec. Tamalanrea, Makassar 90245</t>
  </si>
  <si>
    <t>BB Labkesmas Makassar, https://bblabkesmasmakassar.go.id/hubungi-kami/</t>
  </si>
  <si>
    <t>Balai Laboratorium Kesehatan Masyarakat Palembang</t>
  </si>
  <si>
    <t>Jl. Sultan Mahmud Badaruddin II KM. 11 No. 55, Alang-Alang Lebar, Palembang, Sumatera Selatan 30154</t>
  </si>
  <si>
    <t>Balai Labkesmas Palembang, https://labkesmas-palembang.go.id/contact</t>
  </si>
  <si>
    <t>Balai Laboratorium Kesehatan Masyarakat Makassar</t>
  </si>
  <si>
    <t>Jl. Wijaya Kusuma Raya No. 29-31, Makassar</t>
  </si>
  <si>
    <t>Balai Labkesmas Makassar, https://labkesmas-makassar.go.id/</t>
  </si>
  <si>
    <t>Balai Laboratorium Kesehatan Masyarakat Batam</t>
  </si>
  <si>
    <t>Jl. Sei Binti, Sagulung, Sungai Binti, Kec. Sagulung, Kota Batam, Kepulauan Riau 29472</t>
  </si>
  <si>
    <t>Balai Labkesmas Batam, https://labkesmasbatam.id/kontak/</t>
  </si>
  <si>
    <t>Balai Laboratorium Kesehatan Masyarakat Magelang</t>
  </si>
  <si>
    <t>Kapling Jayan, Borobudur, Magelang, Jawa Tengah 56553</t>
  </si>
  <si>
    <t>Balai Labkesmas Magelang, https://labkesmasmagelang.go.id/</t>
  </si>
  <si>
    <t>Balai Laboratorium Kesehatan Masyarakat Ambon</t>
  </si>
  <si>
    <t>Soya, Kecamatan Sirimau, Kota Ambon, Maluku</t>
  </si>
  <si>
    <t>Alamat resmi belum ditemukan/diverifikasi dalam sesi ini; harap dilengkapi dari data internal Kemenkes</t>
  </si>
  <si>
    <t>Balai Laboratorium Kesehatan Masyarakat Manado</t>
  </si>
  <si>
    <t>Jl. Adipura Raya, Lingk. X, Kel. Paniki Bawah, Kec. Mapanget, Manado</t>
  </si>
  <si>
    <t>Balai Labkesmas Manado (Instagram resmi @blkm.manado), https://www.instagram.com/blkm.manado/</t>
  </si>
  <si>
    <t>Balai Laboratorium Kesehatan Masyarakat Donggala</t>
  </si>
  <si>
    <t>Jl. Masitudju No. 58, Labuan Panimba, Kecamatan Labuan, Kabupaten Donggala, Sulawesi Tengah 94353</t>
  </si>
  <si>
    <t>Balai Laboratorium Kesehatan Masyarakat Medan</t>
  </si>
  <si>
    <t>Jl. K.H. Wahid Hasyim No. 15, Merdeka, Kecamatan Medan Baru, Kota Medan, Sumatera Utara 20153</t>
  </si>
  <si>
    <t>Balai Laboratorium Kesehatan Masyarakat Banjarnegara</t>
  </si>
  <si>
    <t>Jl. Selamanik No. 16A, Banjarnegara 53415</t>
  </si>
  <si>
    <t>Balai Labkesmas Banjarnegara, https://labkesmas-banjarnegara.go.id/alamat-kantor/</t>
  </si>
  <si>
    <t>Balai Laboratorium Kesehatan Masyarakat Banda Aceh</t>
  </si>
  <si>
    <t>Jl. Bandara SIM Blang Bintang, Lr. Biomedis No. 9, Bada, Kec. Ingin Jaya, Kabupaten Aceh Besar 23317</t>
  </si>
  <si>
    <t>Balai Labkesmas Banda Aceh, https://www.labkesmas-aceh.go.id/</t>
  </si>
  <si>
    <t>Balai Laboratorium Kesehatan Masyarakat Papua</t>
  </si>
  <si>
    <t>Jl. Otonom, Wahno, Kecamatan Abepura, Kota Jayapura, Papua 99226</t>
  </si>
  <si>
    <t>Loka Laboratorium Kesehatan Masyarakat Pangandaran</t>
  </si>
  <si>
    <t>Jl. Pangandaran KM. 3, Kp. Kamurang, Ds. Babakan, Kec. Pangandaran, Kab. Pangandaran, Jawa Barat 46396</t>
  </si>
  <si>
    <t>Loka Labkesmas Pangandaran, https://labkesmaspangandaran.id/</t>
  </si>
  <si>
    <t>Loka Laboratorium Kesehatan Masyarakat Baturaja</t>
  </si>
  <si>
    <t>Kemelak Bindung Langit, Kecamatan Baturaja Timur, Kabupaten Ogan Komering Ulu, Sumatera Selatan 32111</t>
  </si>
  <si>
    <t>Loka Laboratorium Kesehatan Masyarakat Tanah Bumbu</t>
  </si>
  <si>
    <t>Kawasan Perkantoran Pemda, Jl. Loka Litbang, Pondok Butun, Kecamatan Batulicin, Kabupaten Tanah Bumbu, Kalimantan Selatan 72271</t>
  </si>
  <si>
    <t>Balai Besar Laboratorium Kesehatan Lingkungan</t>
  </si>
  <si>
    <t>Jl. Hasanudin No. 123, Salatiga, Jawa Tengah 50721</t>
  </si>
  <si>
    <t>Balai Besar Laboratorium Kesehatan Lingkungan, https://bblabkesling.go.id/hubungi-kami</t>
  </si>
  <si>
    <t>Loka Laboratorium Kesehatan Masyarakat Kupang</t>
  </si>
  <si>
    <t>Jl. H.R. Koroh, Kelurahan Bello, Kecamatan Maulafa, Kota Kupang, Nusa Tenggara Timur.</t>
  </si>
  <si>
    <t>Ditjen P2</t>
  </si>
  <si>
    <t>Balai Kekarantinaan Kesehatan Kelas I Pekanbaru</t>
  </si>
  <si>
    <t>Jl. Rajawali Sakti Ujung, Delima, Kecamatan Binawidya (Tampan), Kota Pekanbaru, Riau 28292</t>
  </si>
  <si>
    <t>Balai Kekarantinaan Kesehatan Kelas I Padang</t>
  </si>
  <si>
    <t>Jl. Sutan Syahrir No. 339, Kel. Rawang, Kec. Padang Selatan, Kota Padang, Sumatera Barat</t>
  </si>
  <si>
    <t>BKK Padang, https://bkkpadang.id/</t>
  </si>
  <si>
    <t>Balai Kekarantinaan Kesehatan Kelas I Cilacap</t>
  </si>
  <si>
    <t>Jl. R.E. Martadinata No. 134, Cilacap, Jawa Tengah</t>
  </si>
  <si>
    <t>BKK Cilacap, https://kespelcilacap.com/kantor/</t>
  </si>
  <si>
    <t>Balai Kekarantinaan Kesehatan Kelas II Jambi</t>
  </si>
  <si>
    <t>Jl. Raya MTQ No. 2, Kel. Talang Bakung, Jambi 36127</t>
  </si>
  <si>
    <t>BKK Jambi, https://bkkjambi.id/</t>
  </si>
  <si>
    <t>Balai Kekarantinaan Kesehatan Kelas II Bengkulu</t>
  </si>
  <si>
    <t>Jl. Depati Payung Negara, Kelurahan Betungan, Bengkulu</t>
  </si>
  <si>
    <t>BKK Bengkulu (Instagram resmi @bkkbengkulu), https://www.instagram.com/bkkbengkulu/</t>
  </si>
  <si>
    <t>Balai Kekarantinaan Kesehatan Kelas II Bitung</t>
  </si>
  <si>
    <t>Jl. R.W. Monginsidi, Wangurer Barat, Kecamatan Madidir, Kota Bitung, Sulawesi Utara 95371</t>
  </si>
  <si>
    <t>Balai Kekarantinaan Kesehatan Kelas II PangkalPinang</t>
  </si>
  <si>
    <t>Komplek Perkantoran Pemerintahan Provinsi Kepulauan Bangka Belitung, Jl. Pulau Bangka, Pangkalpinang</t>
  </si>
  <si>
    <t>BKK Pangkalpinang, https://bkkpangkalpinang.com/wilayah-kerja/</t>
  </si>
  <si>
    <t>Balai Kekarantinaan Kesehatan Kelas II Sorong</t>
  </si>
  <si>
    <t>Jl. Jenderal Sudirman, Lorong Marcopolo No. 1, Sorong, Papua Barat Daya</t>
  </si>
  <si>
    <t>BKK Sorong, https://www.bkksorong.com/</t>
  </si>
  <si>
    <t>Balai Kekarantinaan Kesehatan Kelas II Biak</t>
  </si>
  <si>
    <t>Jl. Bosnik Raya, Karang Mulia, Biak, Papua</t>
  </si>
  <si>
    <t>BKK Biak, https://balaikarantinakesehatanbiak.com/?page_id=35</t>
  </si>
  <si>
    <t>Sekretariat Direktorat Jenderal Penanggulangan Penyakit</t>
  </si>
  <si>
    <t>Balai Kekarantinaan Kesehatan Kelas II Poso</t>
  </si>
  <si>
    <t>Jl. Yos Sudarso No. 30, Kasintuwu, Kecamatan Poso Kota Utara, Kabupaten Poso, Sulawesi Tengah 94611</t>
  </si>
  <si>
    <t>Balai Kekarantinaan Kesehatan Kelas II Yogyakarta</t>
  </si>
  <si>
    <t>Kelurahan Maguwoharjo, Kecamatan Depok, Kabupaten Sleman, D.I. Yogyakarta (dekat Bandara Adisutjipto)</t>
  </si>
  <si>
    <t>BKK Yogyakarta, https://www.bkkyogyakarta.com/profil-tentang-kami-25</t>
  </si>
  <si>
    <t>Balai Kekarantinaan Kesehatan Kelas II Palangkaraya</t>
  </si>
  <si>
    <t>Jl. Adonis Samad, Kel. Panarung, Kec. Pahandut, Palangka Raya, Kalimantan Tengah</t>
  </si>
  <si>
    <t>BKK Palangka Raya, http://www.bkk-palangkaraya.com/</t>
  </si>
  <si>
    <t>Balai Kekarantinaan Kesehatan Kelas II Sabang</t>
  </si>
  <si>
    <t>Jl. Bypass Km. 6, Cot Ba'u, Kecamatan Sukajaya, Kota Sabang, Aceh 23522</t>
  </si>
  <si>
    <t>Balai Kekarantinaan Kesehatan Kelas II Merauke</t>
  </si>
  <si>
    <t>Jl. Prajurit No. 1, Merauke, Papua Selatan 99616</t>
  </si>
  <si>
    <t>BKK Merauke, https://ppid.bkkmerauke.com/kontak_media.php</t>
  </si>
  <si>
    <t>Balai Kekarantinaan Kesehatan Kelas II Tembilahan</t>
  </si>
  <si>
    <t>Jl. Jenderal Sudirman No. 69, Tembilahan, Riau</t>
  </si>
  <si>
    <t>BKK Tembilahan (Instagram resmi @balai_karkes_tembilahan), https://www.instagram.com/balai_karkes_tembilahan/</t>
  </si>
  <si>
    <t>Balai Kekarantinaan Kesehatan Kelas II Sampit</t>
  </si>
  <si>
    <t>Jl. Pramuka No. 67, Sampit, Kalimantan Tengah 74322</t>
  </si>
  <si>
    <t>BKK Sampit, https://www.bkksampit.com/</t>
  </si>
  <si>
    <t>Balai Kekarantinaan Kesehatan Kelas II Manokwari</t>
  </si>
  <si>
    <t>Jl. Brawijaya No. 22, Manokwari, Papua Barat</t>
  </si>
  <si>
    <t>BKK Manokwari, https://bkkmanokwari.com/</t>
  </si>
  <si>
    <t>Balai Kekarantinaan Kesehatan Kelas II Lhokseumawe</t>
  </si>
  <si>
    <t>Kampung Jawa Lama, Kecamatan Banda Sakti, Kota Lhokseumawe, Aceh 24351.</t>
  </si>
  <si>
    <t>Direktorat Penyakit Menular</t>
  </si>
  <si>
    <t>Balai Kekarantinaan Kesehatan Kelas II Palu</t>
  </si>
  <si>
    <t>Jl. Angkasa IV, Kel. Birobuli Utara, Kec. Palu Selatan, Kota Palu, Sulawesi Tengah</t>
  </si>
  <si>
    <t>BKK Palu, http://kkp-palu.com/</t>
  </si>
  <si>
    <t>Loka Kekarantinaan Kesehatan Entikong</t>
  </si>
  <si>
    <t>Jl. Lintas Malindo, Entikong, Kecamatan Entikong, Kabupaten Sanggau, Kalimantan Barat 78557.</t>
  </si>
  <si>
    <t>Loka Kekarantinaan Kesehatan Labuan Bajo</t>
  </si>
  <si>
    <t>Jl. Frans Nala, Batu Cermin, Kecamatan Komodo, Kabupaten Manggarai Barat, Nusa Tenggara Timur 86554.</t>
  </si>
  <si>
    <t>Direktorat Penyakit Tidak Menular</t>
  </si>
  <si>
    <t>Direktorat Imunisasi</t>
  </si>
  <si>
    <t>Direktorat Surveilans dan Karantina Kesehatan</t>
  </si>
  <si>
    <t>Direktorat Kesehatan Lingkungan</t>
  </si>
  <si>
    <t>Balai Besar Kekarantinaan Kesehatan Batam</t>
  </si>
  <si>
    <t>Jl. Kuda Laut No. 1, Batu Merah, Batam, Kepulauan Riau</t>
  </si>
  <si>
    <t>BBKK Batam, https://www.bbkkbatam.com/</t>
  </si>
  <si>
    <t>Balai Besar Kekarantinaan Kesehatan Denpasar</t>
  </si>
  <si>
    <t>Jl. Pulau Moyo No. 46, Pedungan, Denpasar Selatan, Denpasar, Bali 80222</t>
  </si>
  <si>
    <t>BBKK Denpasar, https://www.bbkkdenpasar.com/</t>
  </si>
  <si>
    <t>Balai Besar Kekarantinaan Kesehatan Makassar</t>
  </si>
  <si>
    <t>Kompleks Bandara Internasional Sultan Hasanuddin, Makassar, Sulawesi Selatan</t>
  </si>
  <si>
    <t>BBKK Makassar, https://bbkkmakassar.kemkes.go.id/</t>
  </si>
  <si>
    <t>Balai Besar Kekarantinaan Kesehatan Medan</t>
  </si>
  <si>
    <t>Jl. Veteran No. 219, Belawan I, Medan Belawan, Kota Medan, Sumatera Utara 20411</t>
  </si>
  <si>
    <t>BBKK Medan, https://bbkkmedan.id/</t>
  </si>
  <si>
    <t>Balai Besar Kekarantinaan Kesehatan Tanjung Priok</t>
  </si>
  <si>
    <t>Jl. Nusantara Raya No. 2, Pelabuhan, Kec. Tanjung Priok, Jakarta Utara 14310</t>
  </si>
  <si>
    <t>BBKK Tanjung Priok, https://www.bbkktanjungpriok.com/kontak-kami</t>
  </si>
  <si>
    <t>Balai Besar Kekarantinaan Kesehatan Soekarno Hatta</t>
  </si>
  <si>
    <t>Jl. P1, RT.001/RW.010, Pajang, Kec. Benda, Kota Tangerang, Banten 15126</t>
  </si>
  <si>
    <t>BBKK Soekarno Hatta, https://bbkksoetta.com/</t>
  </si>
  <si>
    <t>Balai Besar Kekarantinaan Kesehatan Surabaya</t>
  </si>
  <si>
    <t>Jl. Raya Bandara Juanda, Dukuh, Sedati Agung, Kec. Sedati, Kabupaten Sidoarjo, Jawa Timur 61253</t>
  </si>
  <si>
    <t>BBKK Surabaya, https://bbkk-surabaya.go.id/</t>
  </si>
  <si>
    <t>Balai Kekarantinaan Kesehatan Kelas I Pontianak</t>
  </si>
  <si>
    <t>Jl. Soekarno Hatta/Arteri Supadio Km. 18, Kubu Raya, Kalimantan Barat 78391</t>
  </si>
  <si>
    <t>BKK Pontianak (Instagram resmi @bkkpontianak), https://www.instagram.com/bkkpontianak/</t>
  </si>
  <si>
    <t>Balai Kekarantinaan Kesehatan Kelas I Semarang</t>
  </si>
  <si>
    <t>Jl. WR. Supratman No. 6, Semarang, Jawa Tengah</t>
  </si>
  <si>
    <t>BKK Semarang, https://kespelsemarang.id/index.php/profile/</t>
  </si>
  <si>
    <t>Balai Kekarantinaan Kesehatan Kelas I Panjang</t>
  </si>
  <si>
    <t>Jl. Soekarno-Hatta No. 112, Rajabasa, Bandar Lampung, Lampung</t>
  </si>
  <si>
    <t>BKK Panjang Lampung (Instagram resmi @bkkpanjanglampung), https://www.instagram.com/bkkpanjanglampung/</t>
  </si>
  <si>
    <t>Balai Kekarantinaan Kesehatan Kelas I Balikpapan</t>
  </si>
  <si>
    <t>Jl. Pelita, Kelurahan Sepinggan Raya, Balikpapan, Kalimantan Timur</t>
  </si>
  <si>
    <t>BKK Balikpapan (Instagram resmi @bkkbalikpapan), https://www.instagram.com/bkkbalikpapan/</t>
  </si>
  <si>
    <t>Balai Kekarantinaan Kesehatan Kelas I Bandung</t>
  </si>
  <si>
    <t>Jl. Cikapayang No. 5, Tamansari, Kec. Bandung Wetan, Kota Bandung, Jawa Barat 40116</t>
  </si>
  <si>
    <t>BKK Bandung, https://bkkbandung.net/profil</t>
  </si>
  <si>
    <t>Balai Kekarantinaan Kesehatan Kelas I Tanjung Balai Karimun</t>
  </si>
  <si>
    <t>Jl. Jend. Sudirman Poros No. 76, Kel. Sungai Pasir, Kec. Meral, Kabupaten Karimun, Kepulauan Riau</t>
  </si>
  <si>
    <t>BKK Tanjung Balai Karimun, https://www.balaikarkestbk.com/bantuan</t>
  </si>
  <si>
    <t>Balai Kekarantinaan Kesehatan Kelas I Palembang</t>
  </si>
  <si>
    <t>Jl. Letjen Harun Sohar - Tanjung Api Api, Lr. Bambu Kuning No. 22, Kebun Bunga, Palembang, Sumatera Selatan</t>
  </si>
  <si>
    <t>BKK Palembang, https://bkkpalembang.com/</t>
  </si>
  <si>
    <t>Balai Kekarantinaan Kesehatan Kelas I Kupang</t>
  </si>
  <si>
    <t>Jl. Adi Sucipto, Penfui, Kupang, Nusa Tenggara Timur</t>
  </si>
  <si>
    <t>BKK Kupang, https://bkkkupang.com/</t>
  </si>
  <si>
    <t>Balai Kekarantinaan Kesehatan Kelas I Ambon</t>
  </si>
  <si>
    <t>Jl. Dr. J. Leimena, Laha, Kec. Teluk Ambon, Ambon 97236</t>
  </si>
  <si>
    <t>BKK Ambon (Instagram resmi @bkk.ambon), https://www.instagram.com/bkk.ambon/</t>
  </si>
  <si>
    <t>Balai Kekarantinaan Kesehatan Kelas I Samarinda</t>
  </si>
  <si>
    <t>Jl. Kapten Soedjono AJ No. 247, RT.012, Samarinda, Kalimantan Timur</t>
  </si>
  <si>
    <t>BKK Samarinda, https://www.facebook.com/kkpsamarinda/</t>
  </si>
  <si>
    <t>Balai Kekarantinaan Kesehatan Kelas I Banjarmasin</t>
  </si>
  <si>
    <t>Jl. Belitung Darat No. 118-A, Kel. Belitung Selatan, Kec. Banjarmasin Barat, Banjarmasin, Kalimantan Selatan 70124</t>
  </si>
  <si>
    <t>BKK Banjarmasin, https://kkpbanjarmasin.or.id/</t>
  </si>
  <si>
    <t>Balai Kekarantinaan Kesehatan Kelas I Mataram</t>
  </si>
  <si>
    <t>Jl. Adi Sucipto No. 10, Mataram, Nusa Tenggara Barat</t>
  </si>
  <si>
    <t>BKK Mataram, https://balaikarkes-mataram.go.id/</t>
  </si>
  <si>
    <t>Balai Kekarantinaan Kesehatan Kelas I Probolinggo</t>
  </si>
  <si>
    <t>Jl. Ikan Tengiri No. 41, Mayangan, Kota Probolinggo, Jawa Timur</t>
  </si>
  <si>
    <t>BKK Probolinggo, https://sippn.menpan.go.id/instansi/185408/balai-kekarantinaan-kesehatan-kelas-i-probolinggo</t>
  </si>
  <si>
    <t>Balai Kekarantinaan Kesehatan Kelas I Manado</t>
  </si>
  <si>
    <t>Jl. Raya Koka, Lingk. Mapanget, Komplek Bandar Udara Sam Ratulangi, Manado 95258</t>
  </si>
  <si>
    <t>BKK Manado, https://www.bkkmanado.com/</t>
  </si>
  <si>
    <t>Balai Kekarantinaan Kesehatan Kelas I Tanjung Pinang</t>
  </si>
  <si>
    <t>Jl. Ahmad Yani, Melayu Kota Piring, Kec. Tanjung Pinang Timur, Kota Tanjung Pinang, Kepulauan Riau</t>
  </si>
  <si>
    <t>BKK Tanjung Pinang, https://sippn.menpan.go.id/instansi/185271/balai-kekarantinaan-kesehatan-kelas-i-tanjung-pinang</t>
  </si>
  <si>
    <t>Balai Kekarantinaan Kesehatan Kelas I Tarakan</t>
  </si>
  <si>
    <t>Jl. Mulawarman No. 103, Tarakan, Kalimantan Utara</t>
  </si>
  <si>
    <t>BKK Tarakan (Instagram resmi @balaikarkes.tarakan), https://www.instagram.com/balaikarkes.tarakan/</t>
  </si>
  <si>
    <t>Balai Kekarantinaan Kesehatan Kelas I Banten</t>
  </si>
  <si>
    <t>Jl. Mayjend. Soetoyo No. 21, Gerem, Kecamatan Grogol, Kota Cilegon, Banten 42438</t>
  </si>
  <si>
    <t>Balai Kekarantinaan Kesehatan Kelas I Banda Aceh</t>
  </si>
  <si>
    <t>Jl. Dr. Mr. Teuku Mohammad Hasan, Lampeuneurut Gampong, Kecamatan Darul Imarah, Kabupaten Aceh Besar, Aceh 23353</t>
  </si>
  <si>
    <t>Balai Kekarantinaan Kesehatan Kelas I Jayapura</t>
  </si>
  <si>
    <t>Jl. Balai Kota No. 4, Entrop, Jayapura, Papua 99224</t>
  </si>
  <si>
    <t>BKK Jayapura, https://www.bkkjayapura.id/</t>
  </si>
  <si>
    <t>Balai Kekarantinaan Kesehatan Kelas I Gorontalo</t>
  </si>
  <si>
    <t>Jl. Trans Sulawesi, Tolotio, Kec. Tibawa, Kabupaten Gorontalo, Gorontalo 96251</t>
  </si>
  <si>
    <t>BKK Gorontalo, https://kkpgorontalo.com/</t>
  </si>
  <si>
    <t>Balai Kekarantinaan Kesehatan Kelas I Kendari</t>
  </si>
  <si>
    <t>Jl. WR. Soepratman No. 2, Kelurahan Kandai, Kec. Kendari, Kota Kendari, Sulawesi Tenggara</t>
  </si>
  <si>
    <t>BKK Kendari, https://sippn.menpan.go.id/instansi/185477/sekretariat-ditjen-pencegahan-dan-pengendalian-penyakit/balai-kekarantinaan-kesehatan-kelas-i-kendari</t>
  </si>
  <si>
    <t>Balai Kekarantinaan Kesehatan Kelas I Dumai</t>
  </si>
  <si>
    <t>Jl. Datuk Laksamana No. 04, Buluh Kasap, Kecamatan Dumai Timur, Kota Dumai, Riau 28826</t>
  </si>
  <si>
    <t>Balai Kekarantinaan Kesehatan Kelas I Ternate</t>
  </si>
  <si>
    <t>Kompleks Bandar Udara Sultan Baabullah, Ternate, Maluku Utara</t>
  </si>
  <si>
    <t>BKK Ternate, https://www.bkk-ternate.id/</t>
  </si>
  <si>
    <t>Ditjen Keslan</t>
  </si>
  <si>
    <t>Sekretariat Direktorat Jenderal Kesehatan Lanjutan</t>
  </si>
  <si>
    <t>Direktorat Pengembangan Pelayanan Kesehatan Rujukan</t>
  </si>
  <si>
    <t>Direktorat Pelayanan Klinis</t>
  </si>
  <si>
    <t>Direktorat Tata Kelola Pelayanan Kesehatan Rujukan</t>
  </si>
  <si>
    <t>Direktorat Fasilitas Pelayanan Kesehatan Rujukan</t>
  </si>
  <si>
    <t>Direktorat Mutu Pelayanan Kesehatan Rujukan</t>
  </si>
  <si>
    <t>Rumah Sakit Anak dan Bunda Harapan Kita Jakarta</t>
  </si>
  <si>
    <t>Jl. Let. Jend. S. Parman Kav. 87, Slipi, Jakarta Barat</t>
  </si>
  <si>
    <t>Direktorat Jenderal Kesehatan Lanjutan (UPT Kami), https://keslan.kemkes.go.id/uptkami</t>
  </si>
  <si>
    <t>Rumah Sakit Jantung dan Pembuluh Darah Harapan Kita Jakarta</t>
  </si>
  <si>
    <t>Jl. S. Parman Kav. 87, Slipi, Jakarta Barat</t>
  </si>
  <si>
    <t>Rumah Sakit Umum Pusat Dr. Hasan Sadikin Bandung</t>
  </si>
  <si>
    <t>Jl. Pasteur No. 38, Kel. Pasteur, Kec. Sukajadi, Bandung 40161</t>
  </si>
  <si>
    <t>Rumah Sakit Umum Pusat Dr. Johannes Leimena Ambon</t>
  </si>
  <si>
    <t>Jl. Mr. CHR Soplanit, Negeri Rumahtiga, Kec. Teluk Ambon, Kota Ambon, Maluku</t>
  </si>
  <si>
    <t>Rumah Sakit Umum Pusat Dr. Kariadi Semarang</t>
  </si>
  <si>
    <t>Jl. Dr. Sutomo No. 16, Semarang, Jawa Tengah 50244</t>
  </si>
  <si>
    <t>Rumah Sakit Umum Pusat Dr. M. Djamil Padang</t>
  </si>
  <si>
    <t>Jl. Perintis Kemerdekaan, Padang</t>
  </si>
  <si>
    <t>Rumah Sakit Umum Pusat Dr. Mohammad Hoesin Palembang</t>
  </si>
  <si>
    <t>Jl. Jendral Sudirman KM 3,5, Palembang</t>
  </si>
  <si>
    <t>Rumah Sakit Umum Pusat Dr. Rivai Abdullah Palembang</t>
  </si>
  <si>
    <t>Jl. Sungai Kundur, Kelurahan Mariana, Kec. Banyuasin I</t>
  </si>
  <si>
    <t>Rumah Sakit Umum Pusat Dr. Sardjito Yogyakarta</t>
  </si>
  <si>
    <t>Jl. Kesehatan No. 1, Sekip, Yogyakarta</t>
  </si>
  <si>
    <t>Rumah Sakit Umum Pusat Dr. Sitanala Tangerang</t>
  </si>
  <si>
    <t>Jl. Dr Sitanala No. 99, Kota Tangerang</t>
  </si>
  <si>
    <t>Rumah Sakit Umum Pusat Dr. Soeradji Tirtonegoro Klaten</t>
  </si>
  <si>
    <t>Jl. KRT. Suraji Tirtonegoro No. 1, Klaten</t>
  </si>
  <si>
    <t>Rumah Sakit Umum Pusat Dr. Tadjuddin Chalid Makassar</t>
  </si>
  <si>
    <t>Jl. Paccerakkang No.67/Pajjaiang No.67, Daya, Makassar 90241, Sulawesi Selatan</t>
  </si>
  <si>
    <t>Rumah Sakit Umum Pusat Dr. Wahidin Sudirohusodo Makassar</t>
  </si>
  <si>
    <t>Jl. Perintis Kemerdekaan Km. 11, Tamalanrea, Makassar, Sulawesi Selatan</t>
  </si>
  <si>
    <t>Rumah Sakit Umum Pusat Fatmawati Jakarta</t>
  </si>
  <si>
    <t>Jl. RS. Fatmawati Raya No. 4, RT.4/RW.9, Cilandak Barat, Kec. Cilandak, Jakarta Selatan 12430</t>
  </si>
  <si>
    <t>Rumah Sakit Umum Pusat H. Adam Malik Medan</t>
  </si>
  <si>
    <t>Jl. Bunga Lau No. 17, Medan</t>
  </si>
  <si>
    <t>Rumah Sakit Umum Pusat Nasional Dr. Cipto Mangunkusumo Jakarta</t>
  </si>
  <si>
    <t>Jl. Diponegoro No. 71, Jakarta Pusat</t>
  </si>
  <si>
    <t>Rumah Sakit Umum Pusat Persahabatan Jakarta</t>
  </si>
  <si>
    <t>Jl. Persahabatan Raya No. 1, Jakarta Timur 13230</t>
  </si>
  <si>
    <t>Rumah Sakit Umum Pusat Prof. Dr. R.D. Kandou Manado</t>
  </si>
  <si>
    <t>Jl. Raya Tanawangko No. 56, Manado</t>
  </si>
  <si>
    <t>Rumah Sakit Umum Pusat Ratatotok Buyat</t>
  </si>
  <si>
    <t>Jl. J.W. Lasut, Ratatotok II, Kecamatan Ratatotok</t>
  </si>
  <si>
    <t>Rumah Sakit Umum Pusat Prof. Dr. I. G. N. G. Ngoerah Denpasar</t>
  </si>
  <si>
    <t>Jl. Diponegoro, Denpasar, Bali</t>
  </si>
  <si>
    <t>Rumah Sakit Umum Pusat Surakarta</t>
  </si>
  <si>
    <t>Jl. Profesor DR. Soeharso No. 28, Jajar, Kec. Laweyan, Surakarta</t>
  </si>
  <si>
    <t>Rumah Sakit Otak DR. Drs. M. Hatta Bukittinggi</t>
  </si>
  <si>
    <t>Kelurahan Cibubur, Bukittinggi</t>
  </si>
  <si>
    <t>Rumah Sakit Pusat Otak Nasional Prof. Dr. dr. Mahar Mardjono Jakarta</t>
  </si>
  <si>
    <t>Jl. MT Haryono Kav. 11, Kel. Cawang, Kec. Kramat Jati, Jakarta</t>
  </si>
  <si>
    <t>Rumah Sakit Kanker Dharmais Jakarta</t>
  </si>
  <si>
    <t>Jl. S. Parman Kav. 84-86, Slipi, Jakarta Barat</t>
  </si>
  <si>
    <t>Rumah Sakit Ketergantungan Obat Jakarta</t>
  </si>
  <si>
    <t>Jl. Lapangan Tembak No. 75, Jakarta</t>
  </si>
  <si>
    <t>Rumah Sakit Mata Cicendo Bandung</t>
  </si>
  <si>
    <t>Jl. Cicendo No. 4, Bandung</t>
  </si>
  <si>
    <t>Rumah Sakit Ortopedi Prof. Dr. R. Soeharso Surakarta</t>
  </si>
  <si>
    <t>Jl. Jenderal Ahmad Yani, Pabelan, Surakarta 57162</t>
  </si>
  <si>
    <t>Rumah Sakit Penyakit Infeksi Prof. Dr. Sulianti Saroso Jakarta</t>
  </si>
  <si>
    <t>Jl. Baru Sunter Permai Raya, Jakarta Utara</t>
  </si>
  <si>
    <t>Rumah Sakit Jiwa Dr. H. Marzoeki Mahdi Bogor</t>
  </si>
  <si>
    <t>Jl. dr. Sumeru No. 114, Kota Bogor</t>
  </si>
  <si>
    <t>Rumah Sakit Jiwa Dr. Radjiman Wediodiningrat Lawang</t>
  </si>
  <si>
    <t>Jl. A. Yani, Lawang, Malang, Jawa Timur</t>
  </si>
  <si>
    <t>Rumah Sakit Jiwa Dr. Soeharto Heerdjan Jakarta</t>
  </si>
  <si>
    <t>Jl. Prof. Dr. Latumeten No. 1, Jakarta Barat</t>
  </si>
  <si>
    <t>Rumah Sakit Jiwa Prof. Dr. Soerojo Magelang</t>
  </si>
  <si>
    <t>Jl. Jenderal Ahmad Yani No. 169, Magelang</t>
  </si>
  <si>
    <t>Rumah Sakit Paru dr. Ario Wirawan Salatiga</t>
  </si>
  <si>
    <t>Jl. Hasanudin No. 806, Salatiga</t>
  </si>
  <si>
    <t>Rumah Sakit Paru Dr. Goenawan Partowidigdo Cisarua Bogor</t>
  </si>
  <si>
    <t>Jl. Raya Puncak KM. 83, Cisarua, Bogor, Jawa Barat 16750</t>
  </si>
  <si>
    <t>Rumah Sakit Paru Dr. H.A. Rotinsulu Bandung</t>
  </si>
  <si>
    <t>Jl. Bukit Jarian No. 40, Bandung</t>
  </si>
  <si>
    <t>Rumah Sakit Mata Makassar</t>
  </si>
  <si>
    <t>Jl. Lingkar Barat, Tallasa City, Makassar</t>
  </si>
  <si>
    <t>Rumah Sakit Umum Pusat dr. Ben Mboi Kupang</t>
  </si>
  <si>
    <t>Jl. Viquam, Kel. Manulai II, Kec. Alak, Kota Kupang</t>
  </si>
  <si>
    <t>Unit Pelayanan Kesehatan Kementerian Kesehatan</t>
  </si>
  <si>
    <t>Jl. H.R. Rasuna Said Blok X5 Kav. 4-9, RT.1/RW.2, Kuningan, Jakarta Selatan</t>
  </si>
  <si>
    <t>Balai Besar Biomedis dan Genomika Kesehatan</t>
  </si>
  <si>
    <t>Gedung Eijkman, Jl. Pangeran Diponegoro No. 69, Jakarta Pusat</t>
  </si>
  <si>
    <t>Rumah Sakit Umum Pusat Jayapura</t>
  </si>
  <si>
    <t>Jln. Raya Abepura-Sentani, Hedam, Kec. Abepura, Kota Jayapura, Papua</t>
  </si>
  <si>
    <t>Rumah Sakit Umum Pusat Ibu Kota Nusantara</t>
  </si>
  <si>
    <t>Jl. Sumbu Kebangsaan Sisi Barat, Kota Nusantara 76147</t>
  </si>
  <si>
    <t>Rumah Sakit Umum Pusat Surabaya</t>
  </si>
  <si>
    <t>Jl. Indrapura No. 17, Kel. Kemayoran RT.04/09, Kec. Krembangan, Surabaya, Jawa Timur 60164</t>
  </si>
  <si>
    <t>Rumah Sakit Umum Pusat Makassar</t>
  </si>
  <si>
    <t>Jl. Metro Tanjung Bunga, Kawasan Center Point of Indonesia, Maccini Sombala, Tamalate, Makassar 90224</t>
  </si>
  <si>
    <t>BKPK</t>
  </si>
  <si>
    <t>Sekretariat Badan Kebijakan Pembangunan Kesehatan</t>
  </si>
  <si>
    <t>Pusat Kebijakan Upaya Kesehatan</t>
  </si>
  <si>
    <t>Pusat Kebijakan Sistem Ketahanan Kesehatan</t>
  </si>
  <si>
    <t>Pusat Kebijakan Sistem Sumber Daya Kesehatan</t>
  </si>
  <si>
    <t>Pusat Kebijakan Strategi dan Tata Kelola Kesehatan Global</t>
  </si>
  <si>
    <t>Itjen</t>
  </si>
  <si>
    <t>Sekretariat Inspektorat Jenderal</t>
  </si>
  <si>
    <t>Inspektorat I</t>
  </si>
  <si>
    <t>Inspektorat II</t>
  </si>
  <si>
    <t>Inspektorat III</t>
  </si>
  <si>
    <t>Inspektorat IV</t>
  </si>
  <si>
    <t>Inspektorat Investigasi</t>
  </si>
  <si>
    <t>Setjen</t>
  </si>
  <si>
    <t>Biro Perencanaan dan Anggaran</t>
  </si>
  <si>
    <t>Biro Keuangan dan Barang Milik Negara</t>
  </si>
  <si>
    <t>Biro Hukum</t>
  </si>
  <si>
    <t>Biro Organisasi dan Sumber Daya Manusia</t>
  </si>
  <si>
    <t>Biro Pengadaan Barang dan Jasa</t>
  </si>
  <si>
    <t>Biro Umum</t>
  </si>
  <si>
    <t>Pusat Data dan Teknologi Informasi</t>
  </si>
  <si>
    <t>Pusat Sistem dan Strategi Kesehatan</t>
  </si>
  <si>
    <t>Pusat Krisis Kesehatan</t>
  </si>
  <si>
    <t>Biro Komunikasi dan Informasi Publik</t>
  </si>
  <si>
    <t>Pusat Pengembangan Kompetensi Aparatur</t>
  </si>
  <si>
    <t>Pusat Pembiayaan Kesehatan</t>
  </si>
  <si>
    <t>Balai Besar Pelatihan Kesehatan Ciloto</t>
  </si>
  <si>
    <t>Jl. Raya Puncak Ciloto Km. 90, Ciloto, Cipanas, Cianjur, Jawa Barat 43253</t>
  </si>
  <si>
    <t>BBPK Ciloto, https://bbpkciloto.or.id/web/</t>
  </si>
  <si>
    <t>Balai Besar Pelatihan Kesehatan Jakarta</t>
  </si>
  <si>
    <t>Jl. Wijaya Kusuma No. 45, RT.9/RW.4, Pondok Labu, Kec. Cilandak, Jakarta Selatan 12430</t>
  </si>
  <si>
    <t>BBPK Jakarta, https://bbpkjakarta-nakes.kemkes.go.id/struktur-organisasi/</t>
  </si>
  <si>
    <t>Balai Besar Pelatihan Kesehatan Makassar</t>
  </si>
  <si>
    <t>Jl. Moha No. 59, Antang, Kec. Manggala, Kota Makassar, Sulawesi Selatan</t>
  </si>
  <si>
    <t>BBPK Makassar (Instagram resmi @bbpkmakassar.official), https://www.instagram.com/bbpkmakassar.official/</t>
  </si>
  <si>
    <t>Balai Pelatihan Kesehatan Batam</t>
  </si>
  <si>
    <t>Jl. Marina City, Kel. Tanjung Uncang, Kec. Batuaji, Kota Batam, Kepulauan Riau</t>
  </si>
  <si>
    <t>Bapelkes Batam, https://tugsusnakes.kemkes.go.id</t>
  </si>
  <si>
    <t>Balai Pelatihan Kesehatan Cikarang</t>
  </si>
  <si>
    <t>Jl. Raya Lemahabang No. 1, Cikarang Utara, Kabupaten Bekasi, Jawa Barat</t>
  </si>
  <si>
    <t>Bapelkes Cikarang, http://bapelkescikarang.bppsdmk.kemkes.go.id/</t>
  </si>
  <si>
    <t>Balai Pelatihan Kesehatan Semarang</t>
  </si>
  <si>
    <t>Jalan Pahlawan 1, Simpang Lima, Semarang 50261</t>
  </si>
  <si>
    <t>Bapelkes Semarang, https://web.bapelkessemarang.id/p/kontak</t>
  </si>
  <si>
    <t>Balai Pelatihan Kesehatan Mataram</t>
  </si>
  <si>
    <t>Jl. Gora 2 No. 2, Selagalas, Kec. Sandubaya, Kota Mataram, Nusa Tenggara Barat 83237</t>
  </si>
  <si>
    <t>Bapelkes Mataram, http://bapelkesmataram.or.id/web/index.php?halaman=hubungi</t>
  </si>
  <si>
    <t>Portal Resmi, https://ditjen-sdmk.kemkes.go.id/contact</t>
  </si>
  <si>
    <t>Wikipedia, https://id.wikipedia.org/wiki/Daftar_Politeknik_Kesehatan_Kementerian_Kesehatan_di_Indonesia</t>
  </si>
  <si>
    <t>Wikipedia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</si>
</sst>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Jumlah Unit Kerja per Provinsi</cx:v>
        </cx:txData>
      </cx:tx>
    </cx:title>
    <cx:plotArea>
      <cx:plotAreaRegion>
        <cx:series layoutId="regionMap" uniqueId="{00000001-4DB5-8E42-8A3A-A0AC1D159E99}">
          <cx:tx>
            <cx:txData>
              <cx:f>_xlchart.v5.2</cx:f>
              <cx:v>Jumlah Unit Kerja</cx:v>
            </cx:txData>
          </cx:tx>
          <cx:dataLabels/>
          <cx:dataId val="0"/>
          <cx:layoutPr>
            <cx:regionLabelLayout val="none"/>
            <cx:geography cultureLanguage="en-US" cultureRegion="ID" attribution="Powered by Bing">
              <cx:geoCache provider="{E9337A44-BEBE-4D9F-B70C-5C5E7DAFC167}">
                <cx:binary>1H1rU9y4tvZfSeXza0bW3bv2nKotuxsamkAg9y+uDiG+ypLvl19/VgOdgNMDSXZOvQWpyQztliXr
0Vp61rOWPP++Gv51lV9vqheDzov6X1fD3y/jprH/+uuv+iq+1pv6QCdXlanN1+bgyui/zNevydX1
X1+qTZ8U0V8YufSvq3hTNdfDy//5N9wtujZrc7VpElO8bq+r8eK6bvOmfuTa3ksvrkxbNNvmEdzp
75er4osprutk8/LFddEkzfhmtNd/v3zwrZcv/prf64d+X+QwtKb9Am0ddOBJJIjnSnT3Q1++yE0R
3X3BdemB67oEMUy8m59d5682Gm7wU2O6GdHmy5fquq5f3P37QdMHj/DgSlIb/3YWfLMd8Cq4ecK/
Hs7y//x79gE88+yTe0DMJ+ipSzBknRRBUjdVctW4f7+8bPWmua42L9Sm2jS7CblF48F3fx0NJrFg
WH5DgzxEA6ED7hJCKOc3cLm7zm/ReH9dNy9uRlfNFsnDYe0H5GHrBy3+fvnw4rMDLN/0YDkv3lwX
0SbeTdofQMw94B4RQvIZUBgdSCQlIy7b9XYLkQ+mW21yQOl2SLur+8ayH6Yf7zCD6vKNQ2A4zxWj
y2vwT5visYn5RSdHDjilXLgefmhNrnfgUeFKbztdty71FqRL0zbxfwHRvP0coFfPE6A7r/fnAcKw
C0mJKRF3mxD4tfubEKIHgnHJXABwH04wsN9xeDuY7prPUbpbBHdXn5k5nW9se7dBvQg246PbwS+a
k3uAPMmYB8zh9meGFnEPCMOMeIjvgQv8cPPiZnS7iz/v+m4Au3+DfZDdv/4cQXtsWn4RKXxABfVc
Krx/QEoeIEklo+7MAf4mPnfNZqic/8ehwCqfGRav2npzwxciIHl/nOnJAyE9LBkHM7r5mdmQKw5c
yl3hsluXCJfvO773WyN6MMLd9Z83pn33mCH3Sj3Hjep0k7dZ++JtA8A9Ni2/ZkzAvAlyscvInS2h
WaSExYEnMMLwrV2vt2zilamATdyOanfl52F62HoG0Onb52haT0/Fr0HjEIhRpSTCde+sST7kD9g7
oBgJwYnYAXALzdMj2c/Bd+3mcDxLT7feaNsW0W5m9i3NX8SDHgA/YIiiO83AAyLwgM+xA4QF9oS3
17v9xID2w/Kt4QyX9X8csMlntgGdXFuIEdtN8eIi2bR/EB104DIqJN1tPWAzM3joAZOIAOWemct2
IC9Wdb4pvtSPDWg/Og9bzyA6uXiOEG3yRG8KiFb/9G5DwEAIk66YbTIuP8CIQsDqzqC53SZOvg3o
1+H58Q5ziN4+RzbwfUr+L9Qf6nlM3uz49/2bSw6whwiWHmxE93nbTrv5Pqjd9X1ed78Z7bvHHKk3
DoZQ+bk5vG+L98X/icSwpdvyVjcFCjfXgtjBVn0QLkW3HGIHzH1F6L+B7fJGTrh/hzlol8/RvHY6
5p92gEC3gUJwb8fovDmHwBRkCEi9gHr3EKpbP7Yb1+7az9vXvP0MpstnyfGON/2fD2L5gZQAEPqG
0Yx2IwHCK6IC01lEdBN6Hm+6R8Oz/d7vXtMZMMfqmTu9P59NcgnGRPK7oOgHnudulTy+lb/34XPf
Vd3uYT9vQzco3b/BDKsT9QzZ3o0NvUl0Wz3mVH4xVAIT8QQkYP9xXwINDxQ8F9JMu15vd6TFBiSg
37Ohe01nuByvnqMN3QLzp1N74oAAhaMuZvvFUxcdIEQpUPRZVmJH0H4PnIet5/g8S2L3QKh88act
SB6AisohBfswiIUMLFgW8D3I+9387DGfBwPbXf95L3djR7N7zAB79SxzsX9WcEAHDHNMGf2+ET2E
CrkHlIHSzfHMxz01jv0U4bbVDIjbD59ZRHQviffY6vzFLQdv1TnCGMSudz8P4SAE0kZEumxHvnd9
3248N3v7byaI7redAXSunqOUfWgqA/pPbnZztM97/Bo+6ABKEiD1Q8QOHpB67qsLGCgBxEaQP7pN
683I208Nab/l3Gs6Q+fw7DkGpwo4Qdbmf1I8JQfCw6Ak7GzjB+0UH4CzIxJYwy18u4Vxazw/M6L9
2HxvOYPm+4Vn5t2+ldH94UwdPoBKH8JcuYtLH4alnncAzg27Yse5Z/azi/9/s6hk1nwG1uXbZxj4
fM9EqA0YFAgJ1znUh/7RlBE+EFBjKiWHern7zg5xKCaB/Qou3NDwGVi3A3J2A/r95MQ/3mgGoHqO
ket/rq7jnR/67zcoekCgFosCVncb1MP9yROQu2DY89BdNdeM1D01mP3u77bVDIz/+M/Qmo43+nPy
59BwoAQVeyCUQu3B7Q+YyAMLgvJHyH1LRGflWE8OZD8Sd81mUNx9+uy2oLvC4D+tvW1VG7ENeXYZ
8FmKFUpPt0X3nufOHNoNQ/598XrWfAbS5cVzZHG3UdCfTwnxA9hSoO6U7AQecFT3DYdsiQJUMnq7
Iq2d0d5PCf1mIHSbDbprPEfpJlN0d+2ZGdTxJoODMJvdTP33m43DD1zBKGJoV3c1QwkIApyZgEq5
H4q47fVVApX2/sYmEKG9uD1G88J8BdX0yUHud32XT99yhuXxyXMUVIEMNdd/sgKfH1DKiET4Lijy
HlIGF0B0od6EiXnC/OmR7Edq124Gh3qW+qmCxPgftCh5gMFggKDt9qaZRbkMAij484Ow/dQ4/gmK
7ejnQPznOdrFRxONT/uOX5N7HAGKgnSJx2Y2AfkFwoVAwO72KQk7X/Tdrf3c6PaD9PjdZuB9PHuO
4O1I1bei7j9oUuQA1NRt9emOSsw4OHYPBAbBgc8zrTc84HqbytsN77FR/QN2W74wu8cMscvD50j8
vieQ/3TSCDRWKSlkXXcHI9DcB0KdHQU8wQB3gNxLu34f2O7iPqKzH62bpNH9G8ygOln9f4Hqn4/L
fjs/HMCxvMXNweN7J2Yfv3ozBXAcetb0riZu36TdXVp9+fulBKUVlDqoA0JcwgFlKgGkb8ebt7fc
W1v3gJH/43229vL3S5dIyPK6mHtwUhOD9NTDwYrtx9sKWA76BawRIC7bc2fFtoofTkzjAygigwZw
/Glb4rw931lvDRAubfdNCtUwwoPjhnR7bPrbefBzk4+RKb7N1t3vL4pWn5ukaOq/X0J0bm+/dTPo
7ZDgtIHHPAJFTlwQ6MhebS7gyDl82f1/powj7BBNT8bRjF/Tig+fUaTpF6eN+NphnXDVven6mQ5B
JoBOBUVQVsXBnz3sMKE67BMj2ElW8+FNnCDXH4xxgnzo9UL0JF8+3h+Ust5/QEDX5RJDTf62mpVL
CpZ2/wFbFFY2a5l30nRNc0kmZj91llT+r/fiIYggIBEMc7ktqL3fS+2hbpTa8U5olPSXxWT4ckp4
c/Y7vUAsyaGeRkB6YNZL5ck40RKeZXBN0Nk4CrxJlE8gtIX83pLYzpiUAsQcIRhiUoA93H+WAo+V
N5aDd2JiTNxFMvHs0NMe6QNs6fBEZ1sl4ofeIMe0PR8LnaHtEef7vXHquH1NQu+kohZ1Ko1HZ4HT
qH3lNi7+POGyUmNetidpaLCSTpbVPi30GCpMBvvh8fmdGcP2yaHOjEG4zhkoXRIk/ftjsc5kzVg3
4QmjJVc8rzNlWLxwBv0hHos++PXeMIX5hX9ggW5Px93vbeicNg+jKTwREuNPgx1y5WXWWTVliSPF
IkYXv9ohBRWCYEEh9bctBXrYIWpb5DmljddED2VQ5lWzaFkx1kvhNLY4TDLXXT3e44/GRz0Oh6I9
sAz4ez6hSR6xpm9Cs076jl2HWeycVyyKLn+1l63JIY5cAg4FamkePlcuUOFW+VSudUjwG8+G5ft+
xOXR7/QiIGkNnppDqdTDXgo+9DyyqFx7ETeLIhJJYMve+I/3snVHD42PI1h9GNLmEtj69vjX/UVR
5vD2kJ437dorJnGWoaRcdJjLY5K2vZ/xflzk1nWfWBjbdT3vFHYTDCViEkxAzDaBluWCVHpq11jL
6ZLwlAZjTBIVuSQJknzIzr0xzleZk/VP9Ly982M9by3y3vaT04o5bTu061jUeumaLA1Q1WoF5tY8
YW7uj9bNyfY0EGyfHE4NbYXq+31N7cAKNOJ2PXR1vMriJvUpz03Qyizy+1C0fldPytShOCxrp3NV
GNf9lybUZVDbGB9NeaqvhUiLJaFOvMhlrX99NggsZTgoi104GTM3UEDATtXQ9mtX9mxlJ8c5E4ks
FkNe6JNfXmdwWI2hLfGBBb19acH9yUisU5KGxsO6q9P8cPvuCZU3Xa/cocoVC8246MqYPGFCexY3
BU9HsXQR5HbozL8yzvvccaZhPRlTHEdxUS8zS7t1knvluZh09TmVqXP4+JPuwx1KvDmGTcaT1EOz
XmueRboyWbfWyIxHw9RXjhrAD+YKR2x8k5YFU43pr01LG6WRzfwpKkY/j/ioXJs4QV3i+NDVXYcV
Kpz+vGOiKZ5YnXsMQbowORTDWVwMBO8hHswkXW2bqF93LGyXgxiToOyiWqE2Gp5wyjf+cGZ08BoE
JiA7De8OgaMlD/vqvDhOh5H063iI6kJlU0G+pnHrpcrNCs9TJB3CTQFPOSkRc1opR9Tuu7yhelRT
VyLPD6s0Yr8xA5iBbcL5CSTofAZsC4EUE7D4Hd0jJVjn+U3vHHpIV0+tiB85B5ew6DkG8gx/+GwC
eNUjy9tkWIcOk6MfVTpZtc3QLtKuEx8Kmw4fSCOJq+SgI99LGlmqDoo1FItL+uqJ5bnHKGAwsDAJ
gtPawOseooFCKo3uwBJxV2eJyjyvXVgee6cMa7YGH1AEuCoGohIzJB/SrFzFSL6ZWASG6rUVXnpY
U1itBn+12OGHJUoBsqTU3VPEcO/CofACDQ/D3x7yZptTO6YRZxka1pCUarjfDdqmPrNtx/wyh8dT
Jkx1pkqSio+TBX+rqJP3iRo1bgefDzCyoJ369uiJKdyHJ2zLcHQassEY49m4EiaM1znNsG61qXxt
pjQKbChFoHkZrtx04r70stYvI/QVTa79CLSrXnSWjdMT2/eePUbCEgZ2Bd7NhV3mIZhFI6sS5eDh
ktauaJcPr7BIQl8Dcz4qbXn8xINvvfTckj25PeQPwaRL2cyLa1vTQqTpuK50XK8Ezvllx+GVHQOh
6XGtR7kgjsVLOkavJNJWhdrUa4vD6sRBun37+Gi2KtN8NJCOF6D7QjQLRHo2mjBJ47CKi3ENAa1e
1lnG/InLUQ2pY8+d0A6+sEMbcKcrAhfZ+DIz9RRYNhC/mYZ6MRS4XcY0p2cp4HNWlcRbeFWeXWGq
4zXyRLgwjA8LwUwehPkojwuZmdPIzZ1108XkUuL8mkx9fRjlbb/AFd8UZjI+KexTjGm7omYT7wG8
EOxhyDnA8YaHOEunr/E41uPaA7iXbUVq1aSUPuGotpTyh17g9lDTSiAykrN1TWznWhMn43o0RfwK
5NJqWRaRGwzFRBdtn42LxrDyomuz6nMukvb944Du2zk9l3EMZRgMgz4we0otyOhZ2AvXY9QOh1Mv
owVGsaOgtJAtKhO2lyTysjcRuHVfsrz1ZeRYFecJXSaDIwIxCqLGiLl+mtXDQlZ1FzwxxG2QNJ8i
8EZw1hg2d1BwZqy8Kpui6bpxXPeOZ33WVpnq4n44wxJfwDKUQWNNsRAm9AIqauTnEGS+KWHNHXdw
XkLFheBPuAAIqfaNySMAmkQwe1vV7z63woQY1DJnXIupGK9b4AzLbMhsUEQYf7apKA/7sKClP9bv
CCaVVbaxrecXrmunk7gekzOn0TFdVc3UVSoeUhEtxjjhrU+qSRTBRPGhFk1ngyhuhnPOSJgvQlq6
8GWnpO8gQGjelDGDbWACf6nXJP/QVWX0TpOoy1UVl2xQ8GKxvPR5xSbrkzF2cz9EWZkGA4kL7TNn
MMVRTHH5uW7DvjvqksLLglqGbbsY0GCYStLS4apGTXGeN8I6Ki369pOuJ5QGwI1RBuEDLFu/sjEi
SqeFm/hFCRFv0CVcfrVk0pHKeAl8vBXhtCBVZkbV6tgce4njfvQwqlOlTRRuUlOgU5Zhd1JphZLL
KG3SemE6kh0LDyZ1AYeP0pUA1SUD7hpzonqgKZ8SmeTrtGZxssxyLl4PZVhRxYTV113V27cJGFSn
WMWaV5XIo/NaluWVK6P6Q2syZBZlmeaZooWEzSubOvopnchglHELr/F1WIgNH3BaL5MpbD9NEXEG
n7HUfppk3b1KOzfuTos4HCqlhSOuK9FNhaqHNtmUo9PTIHaG9L1jektUnia4VANiyai6FOqelAz7
+ALrqL3i+ajfWzuBEFL1QnzMUZ6HiqXI4EAWJpv8LHIi5E84cVggB/CQQRoVDVPGVHl6qimuKt+U
pHCDou3qVap7Uvo9a8HPgmAWKYgIi1y1SZd/YM1AUUCK0blw4l4yn/B+KcOIn4KIkeVqNHacVBXK
eFQ9M+llldIkUpaHYex31uGXJu5KqeDFTvEYkNElqrK2cpXoBkOWIAd2sNxHGq5BMBsrBfZTXUSZ
Jl0QTZNz2dSp6X0pWPwx5QZm0VK0xo2BVoJGJPWTrGvkCuvWXo3gMxO/LkV74caei5VNLcZ+IS10
DYmw9lpPY9cFbZUn9aIYB4mWJMz6r9PYmvKIg67VBhExeays1aNVeZyXeYDLvBwOIRwsrnned4VK
ge6D6AQ0J/PLZsJckaIkkTI0kidhGYGhRtimCxZTPakO522kRiLrUtkeGPgyA3Ei8idD7We3z0y2
aPpWfmwGo9814ej2hyBHtRnME7fG56lrTj1sIohGWeld2KJEmd/FvPoIYat37tRhYlSex+UXAR9E
QROR8ovMmvxU2jICD1AmCVFUZ1mmPJmSyE9Hmp8kfSVTRTJ4aAVLLllJGHOzmBoSfra6s+Nr7nXk
Q9ZqXinctP2nHmKqUYFwTQ9xr80nmqbcnpocV6kv6wQZFfM2FqprGzIqW+W481FM60GhsYrSIHN1
fDnWSToqnDI+BWTK7GmXg0ur3RYtQtykZ53jYN+kYxMHg4nrRrlhmXU+jXnyQcvE2CCRffjFm2z4
FVWVdv2swVHkO4TlbsBjUgyqGR3XHHOvdJEq4zF75yU06nxYHWOi2NC7tT9UksfA5pNK+0mZdF/c
dgBxbxptwQLPiya+zDrWtj6OTBodJo4njwTvMThC2YzHpvfileuZkfptX2aFkg3K3jk65j5IIu2x
I8aSKhHmZfqhL5Px9QjvJJkUrevYyZT02rpfadh4opWJaVmuEI+T7KhNBxy9YjE4m0UfU+oAiwtT
x3cwEd0JqsbhqsmdaPSdLjOln+aljVSR5aZcOpVtajX0XvnBlo59I5oy6iFOnaheU2EREO8pjD6X
dZ0bgCPrT7Ipwd6hE5fV+zob2TpvY8kukyZv2pUwbs+CIZf4Fay2yiy416TeSeQMzVteU5goOUTk
ko4VOU76xP1QORRCtLAdphQclU5yJXjmfQS30aYKd6NXqCED8gCUP2GT72lqalUVRXXRebX55DLW
5sEIw19FXpwUinJT24Xup04oHOLusw2jGGIYABnGDIT2HaMZP3bTkKercOqbZBGDR/wCyQRh/SGf
Otj1UV/1QV4wfVXlIX9fiA6Wb9xMTKgJ5iFVbR5PUpl2ct6iisDHuNFRp8aihP9+gpbs44fwAlUP
qJPncj6nwk455SQFgraWokXrUbpAQ9u6ROiwcSZwuWOU5MhPxsycmTxsRx9ChfitwyguVlnvJixg
JqtqNcHJA61w3Hjnj49wT6ACDIVB2IkZB/lnRi09Jw9FjCByiDwKm06aDh1sBLHIF+NURacDGWCB
Pd7l3jmB11iADgPv7RPbo6b3aREJC2BCrBnXUy3JiTPk/GJqJ71+vJd9QSoQLygMduGVw6BwzUKw
JoFnK8ISurFV3wSdqeNjHTd172ubSOGH4O6M8kSJXxelpV95GfOvjmhNtKwSpyLg0LBrn3j2vaOC
NxXBK0IhWCDwCq+HD98UXiTFgMd1G+vwNeTjokMgEMN5kuLAAE89i0vhLnI9NYlydNQc9da8kSQK
g5zQ6vPNHN1lV89v+fFtFvAKNuQqAR44+/V/zux1cdlU19fN6cbevMf421dvX2v87VdoeXfnbTb0
wS8/JGr/IRV7+27qf7j403la0Gpg+YAUCecwMaT17i2MH/K0R/DM2zcIPXwJ5F2i9scb3SVqKbyp
GoR3SIZC4l6AEvU9VysOoG+Q50CVdbd53O+5WngvGII8KpTXgLgMqu0W++/JWpD0JNRMQ+5D3OR/
fyVZCyLwDyEhDAuOlDDQbaHUA+oLHq6j0TSJiEudnk6snhK/5Xg67FDeWlUAfVVjy/BRO1XjScGq
j1B79TrX9UWYNoE2zhI5xj0rZLR2w5odaanxCuIFlQ7obV+wy7pJLpqGfICbvrG2awM94jPPVF94
FBZALER0GJGM+DG5qgoJbT0ULm0ffenTbmHd7HAIqV9H3XWdvsZNc0pD7QVhjD81Zfg2b0uVxd2m
EV35GiXREvQAUPnIBxvz+tQi/i4upVl6VRsusrQafCfvdNFf9Z14r906UXqo4flIemSH3h4WRgdx
T6MT3ozZEvIwFza7LuwIXLSOp0COkc86iP6i6qgOTwu3U4Mcj6MauJl0otOsPp7yfgCGFEL1f9mc
QHrJu4ia0QfJbxl3EIjkw1HdN0s8mXoprQQpFhQt2H9R7cMKOk2H+LieUqKKltmAGLkE2eu91s5h
2YYfo0K3CuHuYgo7CJLs5070x3H62oahPpVmin3PiT73ffkxLWMLWnv7Ok9SYGw27PwBVKsgDTMT
5ImADTXs37jdEPoRKdIjb/SA1UBkJBM0rKKqoouh08Eo+rdDE6H11NSnhqPjspIdZKl0dRTRflFN
ZVDE+mNLexA0S++4ycJ3scVi2bZjo7qpOottdcUbSDoiwj5Y0NQgBVl+7Ap+XpvmMDP4tCw5Xbqj
Sy9hrW1Y10pgclAU64KW7yA14lGeTIZMh/2oA3fkh8SrXw90UpBl/CzSLIZAU4gLoHshxOGwXLCT
4IVuWXiSsQ69FVHGPdVE2sKWN+HmnLutOS2SGF3CQdMN6cbuBFZMtSp4n70aoPzQKIj+jZ+hrjE+
gjqG1HeSKq6Doev5KydxQAOtCt0vISqSp6LxZKtyp6wXFPomKoYQ9tOA41AJjZqv2orkqGMFdF8S
d/SZyNsvQynzi7xL8yCuQrqdlCRcmTBkKxrrrvax6SA4amB6dA0hiprQlF5i48Gig3ByJUmSnsVD
jxtF+zYFQUzrQY2xA5E25cW5w8l0neSJ2Tjj1L2eiO2Dvjf1IkqsPmvysAugOqTPVZSn3llORHwK
A2RHLMorfyqwLeHEaz8ekr4YLpzCpEDIWZ6uQ5JQ5Bswk9PYpflqCln9IZ9auoSXicuPcN60joHB
9eik09rbeLToITDo0rFTWYO61ViE+VFOyz5wGMjTqql5XKg+LepRZcDwMpUNqT6dOj5dJk7uHidm
Ki+KKQa9lbmpA9Fhh4IyS3WAhKmDqomEn8S08ivgxyQtqpUeneGrQysRRIaWQeVmJ2Lgr5tmclVN
3WzZTS26cGrnC1CHatGIwR5NjvkCCnm+4PUUncOMfQqdPDupXNmoQXdnWc++5hC5LlGSNCc05/q8
aPt3A8SOKrMhX/WDA8EdapvXtnXiC5PF2IclVftmgCjGcYhZ4L7ojgRO3UOkc6BtOHVOqW71Yqg9
IGrRGNARRJAuixbSeoBjK5q1zMcM4kIdNFn/KiPuOhvcd23TYFU2GeRyMsjg5ZSmAZRWLLqw+Kgb
dFRMTneBWMGW4D+IkiS0i6kVX23rCtV6bREUI2GLsJ5iYNgwgKYK8izXCxsidAxa+NGQWnAvGejY
kG57E/fkPOetOeqc6CStcbiCiLwA7SY/LTWfIPC29D1I9EalLRrObBGetqFYSe1eTF4WHpsuQ0vH
JeDwqCEntSvXLh6NHzswcFIWxSKC5X2GYzkGOGmdwyQUnyJQkLTvpvLrOOVfgD1Wa0PyM6eKNh2K
ktjPSy6CqUqU4az0Y9FHV71TrEg4RYfE6fRCChGMkwcpx747JR2I9U5VLEeP67MRxAwxttPC4P6L
0WKRJ/bErW25avgQXdABRSdiHItF1TnJNoQ+FFlzYiLbBAwNb6PJnvG4USaTg4pMlKsSJJNLDKs8
T4qF7cS6I2O9ENoVIE6Z8ChqwuO89iKVQzz4zqltdDTBjnzIC4cGEx8mlXPYN0JBU/D8gx79MY07
UINKAcJadFkmef0uihIIjssYbtL7UeMpxF/3uPAz5kFinfkWvx3g/wpSrIztVIg6P5m2myMG4W8o
Lu2YXMTIO9JjDsJpMabvWFG9CUn2fuwkyBGGaSWcagG0PlKiZ4dNc+JCTIsgXhjhQ3dRgiLoWzfs
lJeLulVJbs5Cp/SkkhR2cke+82Alu0UYVBZ2gZb5IYvWTtJ9LXoUHkFIk77LLaSWxsQLhlgvorj7
4mTF2UjKY1EbxUPhO6k5dCGggVw48WE5QQxmCeR3yIYmzTJ05dvJeVXp/Bxqf/pVVGeXnuMFPCzt
qhhQq6a88VtG7KljkDmC6PPrmLJDcPIqZA46oW1+ZnWdHfV9i1QRTcRH0lEOJEYHKy6zmHjLIbzO
8jiQ7agXXYKzQJe6OB6bSQbZGMnjJl+NZayVE1HnA+h6OrCFC4VGRQofeQ5oNdk7y0102Xay8vn0
DoQQ5ueZ93n7PIvC0CDT+iM3MVeliWCLdNoTjeJFrHEJoowMOkgEs+ai5SQB+WvK/D4v1iWrDic6
teADS/coTvXxmGB+CM9QrltZtAqKHpLDqgNfXHPYulPxKnT5NW/EJ2+AHDQKo3e9BWGP5wNV1Xge
YaF0AvUKUIkklgUS51WITjtdXhrrvNWTdVWnSfga8SJ7O6KcKEhqgwqYsDMmIheEQHCPaaLRouva
fOF5+D3UCDl+bQmkFUfgVZ3F+SLrh09hwy5JMr3qQTRUbc+XpJ/QcRQ6YJWmOsrz/pIl3TVIgnI1
DfSKpa6PB6sXfeMmSkb8Y8MYxJMT+sCqUHUdwhBWWu5bbwD0dTYFtAjN16Qg9TkrBvcT1AI2gSNA
1jrMM2KVLPGiHEQT8BJnR0PhnmM6NYcJVGK9rs3ULo0XT+eQhkRL63XKWOIXrIVyLU38/yXvy5Yj
xbW1n4gdiFHcApnpTLs8lWu8IWoEJBACgST09OejetjltH876tyd+GP37ujuClsMQlrrm5Q2TuWj
XuuvweCBCqjafs/4/KHr576QbbSCumj3UHhNxThxhtfF6Fhgvsu362rIhSFi5yXgX5UUuc8WcVzi
qS0rYdedcJN8G2eot8ao/bmgirxe6gpvjt/E0XgARB0Dla3ZPp6+hWokuR/Wl3ziV4JVKHajT/U8
x5cWNYePTw9gftT66r2tEtxbK5Jv69gDsAeIW72BSoJ+X+hsRR4Pc3/oHDjp3RSu8cGE7XvPnxIJ
iFuMRb8sYTnC9Hy/OED7Iz6juyldw0LKlVz02uz7OLqdE713az1friTrcud1WFyDByubeDfXY1ig
TmOXq+yBLpp8JutVZ4aLaK4PknrqCEnj3oq4MKJ7Z7v5JhznO77gWukaH/u6/wDU4sOqxNW8Ai43
63qYE5DqNK6x7rkr12THaeibPFH6AjBUYYin8o6okpCxkCK7JwOALcQkNYUb+9tmJtlR64jmdarZ
XlXNLZlF870O+qQEzanLLpYRphLQ6W5yp7Bu7B1v+z5XqeeKNhaqSG0Tv02T1ZXcjbKMiSDYT9co
X4gu+5T8iFdAd4FNcgGO4r0SAS+ED2KNR6BQMGnCMGZF17mPQZvdGK38PNaRPrQNk6dGg+Hws0AW
VeiRg9NY7nqJWtQ29jJhIBLq1ma7qWcLxFrp11rzuGx82+6DyX8rsaPJxL9YoXQY68/rnOSko0d8
fzeRCZObKO1NUUWoFNXnLPHK3vbDIRxI/NWTdwGQ5wseuDcJ2IA+s0U0r3liqcyHKbvBbG9zN5gP
UunbJki/6zj5Omb6bc3VZcv50WvUXTrbo+Ue+TnOs8Hjqfoc8lh5ADK/lA64/Q4cTXjfrNOSx2u6
n73gNgiqPOu7zxICzsJNgboAE9HnbYPPr/EffBp4OercnLqA3SWJIpcVJMn0je8xAPfoBPCrFCqo
va/RbnrcJzk32WzzaAqvPGiOi1RzdyGs+B6krHnb8CRA1dN98VjwnlH3M81sg/vt07upM3Euqsns
BZ8OVHFSDgqdzrjW33oPLFJKACrTQ+eL4KLRy4e6r8GNej8XOwLNnbU7ChbdxQwlNbD8Nk9kdA1A
5ZMhHTaKdmgvlMhOdsCiSBl20IAwcU8z/BMdu3kXj9SUMRVfGWvpJSqvocycznYaCGjeC1B9IbBq
yDhS44pVenQfjysvkhD7SdPUywlxK8N7KbrrFHjPJNwuTpb7YFBf2EqLeewfiOjdzg38yxIFe9J7
pzb8yRd+Pxn6aQnW8JR5/E3WewGAqvQ9I828y5ZgLlWTNeDtVOi/rSgSxT6wGjVJiB9RP6OOJ/dR
U+ljxgJqd95iKM9V50cq13z0ZlA6aCW+J2bU+Shmr0jb8c1YdxfhiMrcZftEVeVgyH5tdLnOWHkG
R9GBD0FSCodK35upKCKmu13Mh3xhIcgA0EogIlqSgw7MIaiEQAWtwz7yzG4RXtGGSx5m3hXXP8Dv
4kKSaJTA5OPp2qUceIP+bLzoDZf2+yzDQxtUDPiG/20ewiafqI/uiN5RN+xmafdhKg7bIlOl8Y6u
089uQLdv4ruIdUDyI/JZLOyiohYdBG3y2WvylfofrfbHorbRvfD66j24xSg3NbtpzbAbRHA/b0BA
n3V0I07SU6Iu8BmHRyhgcJ3G0tyG6sKgXXFzdOvCCPVRbY5rZfZjvYCETE0hBtoUS0bEFRWCH/k8
faZ6uakkFTe6U7pIzXxFCCai0euxlt1DGFiDpSTcV4N5h55Fo66dLAU92x/m8d2kOSDvJO0KoX11
t7rk49ihH4ROrFxURUtvELIQjmaQKYqlZN22A8cd2Ci5+HsXRSbP2pbtEA3UFarX3tsmTQ9Lww/B
UOWVCj6Py9a0UdRhn8BX7HXPZD4tEdsvgamKlAtdjEGiPghsfcbFt3q0pKiSZbpkQc93IjPTB+ex
3RgcSID32or/D/BLYNHb6QEvYZa/bFqwaD3KhNkgy39/9m+YEkZWRGriDDfoWZHQtOlC/raU+MF/
fPxXoOuQsf91Ns4/lpJfCQ7BFt+AE8MASG6eo39gyug/MMGkiGoPoXqHVyL9I5TyTAe05eQhCCKl
kD8g/x2Ja48xStWgpqECNVstpuFmxbf1ttXaBDmWqP5h9NLkImIivUfz6q4Dq9cdT5vlkDggkvlv
D/BvoPt3e8u5vWC7liyBHAWPC/JBwKaPr2VeJraoyC6HtDGi3zjrqkGhoFhUBFoQemimVf6ME4nd
ePC1V0KlFd0ndeM+SkWm1/TO0LpiwN8EK5AwwlWB1AY8abhtUFo+vqAK0wSjqQgMs48aKvZNzUFh
Vcu7qQ/DGxHU6d3g8ATzcdKzLqatb9kpyu0Vndp4OHgRYAYIUyW/5Zq5dlenzrKSQeB9WkYy8v3q
Oc7yqO3YgH4kgO6igY7Ry5c5Ew/IMoy+EMYyV6aBnN7KyI3fvbBaeMFBJNzGrYnAhjZuvNBR429P
7K3rx+a2gT4JPL7IpjQ3EgRM7ilVmXyRfX8MaVVVO3/KmpIk5odurjI5T+5Km7j7RjiXdaGCtjZF
PLlpQd9o1bVzYfYZuyu2gaqe/AylPHbxPEsmKNWyqGuhbLDEv8lMK/0ikWlsAHI3HclJZOwp0Ray
IyLn9HockkjswBwHKEiqccG2l7RYUsPEC74HQI/LOan5bT+Q9aGnSwX8Y2LDl0q09V2crhzYQGvJ
g0skuoEu68LPhrLpYZomtA2Rtp0qpmmtkxzNlP0AnZfHAFNCuJ7zeFTfaMCw5ykQuR+Jg+7IOlEP
wJJkNeUVr+iVzkhrijYYWHcdG9e4T3Y12ENYnRK264IkZWg7jGAldpUlyDOzeO3ddqqcf2q6ybQX
Sdx49E3n/BWqqjnsMtQaAz/ZhkzkKrO1i9HMJdDVZURlU7FI2b63JjZQAIFm/5420+QXrG/br54h
Duq5ufOBBsySjGWkQjfvjI3wSiUN9T33PMV3UMDotNRYXlTZksHTu7iia7QHRjtkedLgMRRciroB
HjgsdK8spH+o6BoxXSq29PU1FIuhfxX7rtNo/wKUQYYb8bVquEdzMeg5BesuaZAb6w9xMYtJ/rCp
GOJTOoauLseJWbGfKPr7nSG115886ZuqzJiFgGlAge1ygzfwrobhKgYd3rWfZspArSc6QicpFGEL
IA9Hxnz0+nTZA4V0D0umSFJgCrs3DP1keDlBNpYWwdLoqEw9VD+ugAMJfTPHYztIBonZXcdBquSE
KkC+EaDsb1wNiTyaehiHPPIbiz1R1Wl30aRuliWbqvCkNYRdKKeWyeVNk7Jrvizz9zEbKIE6Imxt
Tvpe6tLMqHHyYGXSz8PAU345EDr+xB3Lr5VPBqBroxcrNC60T/MK8PlNGreoK7rZRFd9VBtbqmGc
3ieG2bdQZy4fhJRQZIEFxbzzGjFLTOMYGPbUxzMvoYlCeQJmP+ih92qD62k2aKVdtfab4icOGD43
G37pmgal+lhRtE9NECjMkr5hw4nyhHxMbWgaFH/V6Mp5HvVNnfQsOY7dcpKNEAblKY8elIBNolgc
3H1QOflzsm/HSgZlayNiIbQfxFjqflMPwTWgaE48QOO5jMZFoFGkyXVmnKS71mPJF2ba8SslXnjr
/BqlYoDFfdcEwHDzas1sfzC2wgfrW8hQ8mRSXpTrbqibwnhQkZa+ho46r+jk4WVbeC8hUKP4LGyA
h7Xrhkq8g/RNwZOQmuzS+sEQA0JhlBSJMBBYLV7Q3dFRE7Q4fT8DyU2yT1i53Tdr0N3lzFv5CEkW
tuy8S5f2m0QRetMD+YUEoumXKB+hA4tvg6VFr0DWJviCALkQOgRHRA0EZ+W3klC0f0YKDWE1WTJR
ZND6mDKr1BwVK6QPrph4TAf8PGxxFwv6kbsGAqrvqVPpoa6i5hTaGPsoST1NCxkbWPbQ+YLjWJBv
Eu5CVHdX7ZCsPqpWXmd529fG7VfN+HsHS9hPyPVSiNOqJfg+NWkNLdeUAoyXFYm9/YifuZ9ipdrd
4trmRpCZgaxJvegTJ0OHy60sN/hm8b+d0PUI9e+s5I9+asZqr20L4Wpqqa4KN8/rmAOuXO8XVAvr
MYRlB9gfDaXYsVbxAcScrd5kCNOBPlg26k0F7dxcKCC4AGuHBBBLy7SpS4eXMuY+wbqaiBofPna7
DBBDNbsod9DP1qcwCTpaBJUA+mYki7+xGLKYHfX1R4gJhZ9jCXbVX8XHH9Hsb/451PmcYt/Og/6H
m/8/R8aTTVyBxIjfirEnDPyvanYrWJ+EDmwl7X9/w981LU5aSAhBCg+kIcSHguPfmnY75Ra6CRwv
+MvdF/1GvSPPL90OQAGEjL/FYYI/+6emhbceJ0oHGVJOI/ic8Kd/UtTCG3NWuCGIDn5lnGiESjmB
NuBMMcNEss58SvmpqTzA9XXceZdxMDksD0PM3iSRXlEESGubSxB7QZ/rmnL0xEFk3aXpBUQ+QepC
juYzE95pxa4/bhsAb49hPCRuR0c2fjVVzJq9Ma2xF4sOxhNKIv0BUFWTbjBWCNZhjMma07jvvjXW
mz+CYGVf2nR20LOFEqhtG4aQuXZell1yDtgYqzP8tDloUOh1SbTUACrQMooTi6N+xN8TkOIYUd7H
EtRzMSx29i6GiQNg6wNB940PRc0hqVQ/7a3MJsTfEJsUah3xyTDNqrCs6bj+INCybTRzONEytQQI
kZeR8MvkxxNWIrawa39ZhxBeER5hR25a1uU28QDtpEKhujIBk7qAQc7dtVWV0EL5FfCjdfTcdSg7
/wfQjfRDCE/6/dK3S1xKM48zcEX4po4zeK2djYKFHfyakI9VnEYbC7MCSMwgSn1ITR9y1LzgFDs7
egswJ4uOfoKLReQgxgSKHTCS8shRSKpL21teFWCS6gj6NFrdAetwfQF5glfni4JHqrQJA2wxx94M
dQGWyqvMePa09iPKCIh/dZ64DUWfhlqVLAAYVyyRQPcOdBB6z2HFq8/nbmnT0rhNujknQHWKOQiA
nFaZBrLudAxFK49ga8wDPkLDBNCYXYpu8fp8ED3xABDH0ffFpo23k+kgbkIbDg9iBJJ9D7refmkC
CKbTYOoA0UF43R7WkS567ztQD7lLFiBAoYjSH8qkCXiWwMkavMvkbjCzJWhRXy26qEY7c0BhqAPB
h1Z6zwblyWOKpRzyxMRW73w1QHI5Sb/Oo85gI28iiltqlX9lfHOpULynRTpO8YPwNfk8sqhh+FM5
4CmFXnATxygsQMGMeGCj6EBOq9BUP6NKwYYFNA4PusF0wz+ngbjTIpLvZmUl3WTLbZpnZEZb4veq
/tpwPr3JomkBQxYyfvK1aC1MXLCxXqyTW9M80hm2fcltnbd2mt4MvK+noqo8mkIx4cmklEOVdmgl
pi7eDx7pVjxsL5lLwlaob9N+Xt7pVq+fGWSYNvdsmtwNozHfvLTn1zok3gAFnQdUexxQJGH+OIeq
iy3TQbXKNG84p7wpFXZPjNJo6KN5R6vvtQUHV1gYKICaROEM84RZs5+trHtvxwkdSJ7QecIiMCZ6
jPe1H2yuYD9NHowYlhAk8ArjWBNnXV+IqWK3XWaBvbEESJGbLKkKFVVwQ8G14QXge3i0vuJ+OPMx
IrUiQ1AapElRCgoJ/pjH7S04Dg1GZqqOOq4xRanXXq9mHo60HePXnHNnWqi/xtrssj6CrKFhPGul
PcpMOnpZdUwFG3aVDdDIWWrnr3L0IUNo3XxVB+Nyi+o8vPahSrydA4nQtqHBy5jX8JjpXh/63lf3
ChTVqautD04xbvs8wov+gB40evPbFvgMHvHcJQOFgP0VGwhc8dsm87vfGXJ2eEOUd4w5WHib8nEP
L8i8t+sw7b1OLkdUivVF1Kqm5Iu7f3l0cibB3J4YXDLI+YgRwgEs6GwPE1yMjsLqcIJPBE0t3r9X
ziSBFlEO03W4iHHXVF17AE7T50mNj07x6dgO4XCdqVF8ES1PLJhbm1786ZUB7cBaBlMlgRsSAW6P
H4w1CmpoyIxP2guDXYMV+6YbSXJcB8WvHWw6B6+FL7FwHXF1Pm1IsQFpX2ozb5ovbBFLnro2BGwi
5LJ7+eqeTOoUCCx0vEjqQdYmgLfHFydRmUxQIrATIFOL+rux75YJOgXsF8Hx5aG2E9Qe4UMUoWkx
QLjYx6k6mx/28ViVt859a7k4IVYBxmTM6e7eLpgn+AJscztIHsNkkHTdG7soAWTI2vQb96d5Pah5
JvGpafomvtg0Eg/LUgc/yKjd5ZI5Z4qRbv1RKCO1T3TWf5oHLzCw+7YLlNMThOSvLAZPplsaoIoh
m+gVrkgk2Ty+l2aqq2kyHj8JvKDCeZaACZThX2U2CmRk+jzzTT19OxgFJSCCLXCeJLb1x6OEUAsO
AWXdKeom7x0XbbULV7fsVlW95tLe1JW/g3cUN5QiaGI7bmqTh24v77fPV8mOyrpeulM8SP/EwCQd
ZKfmIzqoEc6EFlRxN2cFG+nh5Wnx3JMEqEqQcQHtK0res4G7QFU+7bsTxEjLjqjG5LJbq1f8pM89
yRTgMOIHMPNweOrjUVIN29codHcCGZ58D3sgDzR048eKLvMrMu1nbwgiW3i9M6Ch/tn37i+w8cYB
hqoy6EwcrcOSUv795ae2gbvnrwu/34fgOgJavh3u9vvroo1j00QdXhe219sNWoP6IExtsXKu20JS
1E6vTMbn7gs7CUkgo4MvNzyfIYCW1Gq67tRb138yS+cuU2Zem4fP3RhOtcVcRyIpdq7tKn6bh41s
yTiItjtJ7ad72aLPyKCCKjIFc34EFVf5xw8ScwJtGTJxkNj4RHU8QQDbt01/aiE6LZzr3isNw9TM
QSgS9vPlwZ75yCBMRjIF3hsGS84E/NByLLOfrZgaFJCXHQ5D1L0NGpQTMgyqnaYStiTY5V4e9ZkX
h9ABOEk3wTYw8LMXt2b1LDiT3Yl7Pf0odbVeYFZCgfHyMM98YqiNYOf1qR+gbDm7uZEoxlvf9aeQ
x/5RjzzdNyLkKJBd9Mrq++t3nU1/+HZDFBsRzPFwoTyeJc5VzeCvlTyNOuYOAuoGrIIfMwtTI2Tm
U26I9B78qVO3A4TSX5JeBWthUgo5ITRIEADooF2/kro2X3Ck5fpWcGR35XDDNW9ZYpsaGHHELwaP
VRR6ms0uFa5LOJWUR0DFYwhNIIIJUGO4paNRDtinf0hbKCTLRgUNEFscK9cBCuXREctAU8Prii9y
T2YyirKeNX8gvUO1O0HGSFCoKQDPlEK24GdmU8L1VfqeGAo0DBINaEJUDMC5cA0gn31cm2o4tooF
Zgf1jH/ni0y0OSzyw1WlPICSyLyB98hreRfkPIS+64RDWKBS9QKx3BAWmhmyuDRAyV7XFrxwwh7Q
7rO7Kgq53IOGS4e8XsdgypO4gr/HoxHCzOJWTWiZ52xgZRXD4EWycRouEUE3vFL/PjNjM6xWPgpt
0Ek4C+Tx662oijBnmTjFlvCPcU3tXWibbPfyhA2elKwAejAdwl9RITCjn80igi+BdssMXV2Gannp
x8Rd8Mqf1D5o4PGDfnHSn+DNh5WWeQyoNHcoMCB+XxQ7AWhAS9+uEB+Vk7/IqUCAGpiPTHnkG/Q/
UPMNiQ5/SBoPY4nup76nCGyDGnKp0HUJFfhXmVP9T1fL/qs3pNBdj5hu86dZ+80MKAFqY5SDMXIf
Xr7vZz5UJCskFIFIATjW9GyD6nUqKhpH4uR53PvY4UvSRWJ8slsTL7avPOTnBgOGhTgS/B/W9LP1
nCG3YyWiHU5TMywXs2X1rk1Due84WoWX7+sJI4rAMQLUDAkNyMXDJnK20KWqBcGl0/4UhHAAD3CU
HLoxVG/Ag5Em951wR5TpQ1l5pvtAhIarhHQBFNUN3uIrq+HTfSwMoA5Kf6F4+K1nDzllGSO0xaLr
UE/Phew6v1yBX+W8mrwYbBRRf/yksZGhjkcJh6IAm+fjj2boZgj/1qSDp7MlhVcDdICZGFJHEZBX
ZtDTfQxEPD4c/AUUH8T746ECQ3s4Btb+RMZ+KoP1jZCioJq6HCJLEKsUNC7iqP5Gnf+f5fBzzxR3
hkzfFPMXVerjYTsFc00XJv2pbsECNzDBtEkXgUKKPmjsaK9UBk8XIWgQ0Lkh3i1B/Np5HSd8LIui
pf0JRVFT9ioE+gn84pVH+fT7+LWBYQj0EziZ/GwNchPAsGWA9q5XjGHz94cD06kPefM8vjLUMzcU
4+sA/guxAPqJs0p70TUszt4iT7q3sOchX+Ci4lC/vvwVPvOSEh/9tw+TaIz15WwU2JOIF7W9PCm5
n4nGQxPM5JFF2lTovfKRPXNHCXLttx4WzjmsaI8nhG2UIgO4yFMNZ8N+XJps36zd+vblOyIhfs3j
agOvHxXUJrJArXjeuJoQJUQFi/gJNp2kQBfDkfpAOoWMwaEpkCVp3wc0HQ5ZWyVfHRvMHlCSdz0g
y6FEnIrYzVHC3798Uc/MG8SNYidGQk6C3v2soVEpaMQEOOZp6iZAO6AK8riHCl3VQ7Z/eahnnjKW
UxANqOs2Xc7Zshoyv16oqga4vMwWajPOJRv1azXdMzeEjxp1P3pq4DjnAI4DygwdciBPbiZ10dcj
fdsHLjuEC0v+uBlENBgB4YENg4bBeRmukTyH/D9kFnkxXiKKtqzoAdsWK5jH3cvPbnsNZ1Mn2+Jt
KHRLSIpMzz5vEELxwvQwniLlkouxmdcvW9jqTzlTeMxifH8f4DxYhj//MNB6Qm4DzQ0cleefurWt
ZiEx4wnqDFakngl2HhxA/4tRMlCrIKpw8gCOqHz8+XXdCrx5zuQJZKV/03guoHAxAH555SE+s7FH
sJsjGwNBWFi/Nq3Z703hoHo6LjZYThltl28kitQD8nuGBDA7b03egeae8xYl1S/DnLpfvSwWB5TT
UVBm6cS/vPxSn25/EfRNWEYRyoXC9xxMMNQiSXEdlpNSWXeig652nmLrrq/WaSwq5GJ9khM1CKVa
mih7ZX19+p1sFTESeDYYA0Dr2bOYgJKrHi6TU5zpce8nUCAjlkcVo5P8j98vhvoVb7r5cUl0VsOo
IFkMIjuXEzQ6bK8h39wPEKK/MsqzNwT6MSSgMxPAXY9fbsQrMHyy1qeOmP6NlzqsrsrE4YOLvPa1
Tf0pToxWGLkAET57FGiICXg8mob6XU2amJNOlOClQdZVA4GCHS+zNm4/NOkEt1u/rKCxZqDpCIOC
AOc9T1V4P6qkK7oA9rbca3R4XLu+vn15Zj25vAwb55bPC4M/ahxs948vL6EdpY1PR/h55wotbZj2
I3wsfrKPV+2+dAy2khTmKe1feMjvuvTWFLTSMGftTx1F8CnNZr2oprV9JVQTOA9G/n0l264MAkrM
iC2nPzuf9FLGbOGem05ROGaQ6OsudDv8+9e07uo97eaYF+1C43fE9VFbZgqeKycpNBRmEtDKIkZj
lRdrz8Jvtgm6eKe0Hd85PP7bqabIuGnWGYSSSTtd7/kcZm8h5HN0N5oAQqw6632oPZJ16d5MfGpO
HZZVfi9gmmvzcV39d3Ub2z6Px5Qe+wUN6zVp5frTzSucPJB+DUXXU6bzuq4sO05hF6eFH3vM34G+
mRQyv0LeQceeyBGSlgHhOLDBQK8TVWaUex4OWx86++/msAGG4MkeEA4mGpT+wmLHLzwfxqHcikpD
wdHNiNWZBtKdLCQ7QHekpz6zPhUwxw2jLHjjK0irzZyIPTiSFRK32Kxwwo5uQUGxBkiBW9gck92A
EHPYC7WKhzw2c613zCyThftopW3ewupblaCH/AaxJMtyl1UpbLLtEvifvHlqf4Yh6NMfoo6AOnRo
g/ix81YPmYZVxX8Sl02XeqAdtHzNhohCawfLEYc2/C0xoQJ9KpvoYa2yFPwl0t0voPaDSKyDTDMp
umaWgFQG61flXMmpz8UqGcnrJYnufAQEzjkFj66vUtmE72yV4eUOPfXrEnt/KCDZSwbwpCuI8xzE
ZPxxXH8FsLULdmKrhP4I9Z78How+IkP0GmXHFOE+38eZQZa29F3/tYfAFk9LjDC9hUTwaxZPTXhC
0ASMKBzm788vf5znyz6+ACREothEc4VY6/NkvGSAeRIhPsuJdtl64rztChD05B2UQ/7R6Wq4hTM9
gM0mCqtXSrDzohpUYJT6WCEBVcDg8CTGOOzthJhOfVqYqh4SjXinuXPkAEfcvFfQ6128fKvna/I2
HoWeFwUSQlvD80BhoDJuirAen1BaeBfhGrDcLLLZW6K+vzzSc3cGYgixEwDFAWKd1bHrKNsOeKE5
sTkddjyB8SZr7bCH60h+iKBMeK2WOK9mf93alqGC14nW4fzWEFrj6lQgs6CamxqBD5m6THsF/9SA
MG8KSd8nTJ34sndpBscGkoWQ7GYODgvmiQUQfqzQFFyF/jq8cmHnlSKuCzUF9NPAvKP0CdfTtMhp
WRC0dupShMW5KHTIjZqH60ZCNjclTL+F/5e9sqw/GTRBj5ZCRI6/gHNGZxWcieH9RUjTCmlHPQ2l
v8ASjgqfDtAU8hCKdogCmsLzlu3Isn+Plrj9a9/4Xb3+ZIJtAyNZBLkxmwUgPati0qZto6Rt1pMy
EopiKqKkgN8wLBXM/Z/+fKyNXQJuiTuE7u7xntrEXQW7k1xPwUjng2ws0t4C6XWfSNfow8tjPVkj
cF8Ud4WHip4M3dLjsSDiXQWctg690gSxbZTMfL7SFKm82GFio0vO5gHBxF4HryTWEf6nTT6sACBP
UEXh7EQcQ3GeGuk6pLFtyuNTNJj1Q2wQusDicDj+us0/0v/9X4vZ+aXL+0XH/TtRnyj7ih9innDW
3flhQv/q+n79/H91fXjRWEUQOI21eUOp//aq4HTKjZVDI4e8nQQV9L+ROuQ/2Dp+vR5CA1Rv26kk
/8j6cM4o9HfQHtIY1B4K1OBPZH2PvzCsIkBEgBDjI0OTiz1rW3h/J9IUMnug+NBHs5KgBGKz5Ous
EJfoUKi9POnJNqv/Wxv+NRaUWsDIYEiBa+ds1tOOBaRW43xs4NV6E5G1P7RjoxAGNvvsKuvMuKNo
hPOwQty4DISAc7hLv5gaUSxtFbXNKy3F4zX+r+sBKQpFwybmRAT143sf+AilMKDJo8Dr/gT1bZBP
2cxfYSkeb11/jUJ9pOdAwIm3lW1v4LcnjBKucjar1ZHDYlaOjYUW0ELydYpmLuA3g3Hv48sP+pl3
iuNLwIrCzoQ1+xzgdhUSkhSyBI/UI/NNP8SwO4eKf4JZOChfHurpIwR+jo4MfkrcIvxOj28uGajp
DOKMjwMTvIbez4vvQVnYh5eHeXpHqU+hctoQXWzH5zHPEHqHOhgchpmTqADVp3YtcnvK1rFk9/JQ
T15XCr48gQIHTE+Gmzp7XSu01BGsDe6IQMExbyRS4TiDbnJp0NRkenhl13n8ACkqNeBLCNaC6gdN
rX+ua8hWOxPnE31kKBsBwYQDmJ9ueeU1ne83GAXwM6YEFhm8rfOI9cmmYa+Q4nnEMlD/TNuwN7kX
jPVYuDaKkduikcRYqirI7ghCH8wrH9rT4XGsFMBRcAARJM7nYIRW1TLARGSOkcMZS36o5W5uhLv0
V9JfrDiKpi4QlBODymxfO/zg6fPdhgYsSbHNZXFwtr7NQ8+YU605gjFNkY64rMeAQSH/8qR5PD+3
t4hRfuVh45QFLOjntQN8MshS1ObYTiSBCjnKrsJR+rsMAVn/i6FilNsEGimc23XObsAeIVczeuYY
IGwk962ddujx0gKRtMn+5bt6KsXCbaH4wrzcPJGovx9/3WPlIwYYhwEca39FEJjhaCX0mO5Yp4aL
emjthRETpITIwdijS4j2sk7l/7B3Jr1xI2m3/i/fng3Ow+JukjkoJVmW5ZI8bAgPMhlkcCaDw6//
Hqrqoi0qOxPu5cUFGkZXuewQpxje95znbM3CWpxONKFDlSoUa6Ub+ztdNuaVUkP1YHi9862G3P+U
wlGCxNN5i96u+aHHXXlh5/oit/z3mvP3k6Fm5FAy5vmgA3h9CV2jZ+kwiekoSVTBvedHtR3qaWkE
GxZlqoKC48ZHvOxts5f6lH9LOT+mYSbt9puJX7AJPX+YKcl6cEldr7EQ0iqIlOfv9Km31KcQi8KO
/FYe7uuf0uqE2fWmpY6+XSPY7VtxpfWF9/d27D82xk6OggfUhSdE5WhtBZ3Ay0c9rc8jwtxxBxyZ
ZyW7j+cv5aWcu77jL1lWyMOWs4L5+lq8LBgKv2SUBBhJtym0dmz2OZWfd5Gr92DscguKE6jB6JE3
xe43/LNxDzZ6AvbT6KCdJ9ctKgoRsYZMLzWDEqzJwhuOZJNS+gnABJVWE3wOoLQ+zIqj/lLWqG/g
qLndbozG7sMEhfjChZ26e/RNDb49GhDQ4F9f16wJFobl7vGlDQ8JMqdnWSpx4RkZJ+ZKY6mhcZym
jP1iUv59uzC3NadbtNRHxzETLaQ6TSzWkAby0KYwMkLDQNXhkCEFv0NaxraiCFbgSa/Al2XZUI9h
bc/TD33S+h+cFkWz8bx2vvWdBvi7abW93CS+MKvt+cd+4u4YlLtZYNjSUuNfzYBGuhBrxDgcowjD
RObq9Y2shubC4vy2xO8gAUTIQ1YhZ/I3WSFxSvMsZ+I51j5iHWgIFir6UunTLbE9Jo7cARRb6DqU
trbt7EO+t3LdOnqNvuh28iK7JPc+dd18SuzuaXC47FBevxVZFJnzFGXj0Qua7gY48YcgzZsLnagT
gyyNX5qLnBeZ8lc3t7DMeBhSrlpSKtv7iZHvao015vwjfPvmcRpgM8JcTxARV/T6UiIScQhRmeaj
Q2+GqmEU6/dQ2AEweo0ROTthYCDo8Ztv/dR0f54f/M0KSjcYva+D2sRGF7YuuNu5ssYMM/0RwUUB
A0lG2U5Mpk39JRUXNOj+6z0eiwKDWTQQOZAtXXtj/dAov+ZebHlHdKrVL1GbdnGgfqhN20ktL4pt
NPkVTqcc0nlaO/k1Lcaho9JvZE/9VEmgTFZP4bIxYn0Dy7d7yMEIVds6drIvieZU9dZTVfXYKiu6
ZU9i6JusjvjbZnQladg5lf+zFSjuwwmYxaOKRHbsm5Jvtc6z5EFUTYDeSrSy2mqppmy2hIX5V5Gg
D9/o7WxE2ykrMj+UyAEB2cfj8KOMnfir6K34i5oH4W9NR8t/dv0c41jyzfEGU7f8ZFHkQDYei1bb
BiOuv63onDjYaWxu7sSI6XJTwet/DsYaPFNaz2aBz7nV3dB26NbfwQmMDg584WqbE1o4bMqg1K13
s3Cy56Qayuck6SBECmswD0nO7HTQZnLUQo/mN/4r3emrq7SC+IS7vQKpCdV02OidI485zmzg8jhU
sbhTebujNN9+kdNcQoNEYvFT1PUIN4gp6KqPXIDbY5IEPxHJzBjNRTC9ayDyf7cpSFP1Hj22Heff
z3UJbHllljOO7bPPI5lutaqBmRqSVFjOUaO6b9k59dtSHbSswnqLm4tgl+bCSvDmc2RElhr6mbyo
iAqW3//t3OgIx2dtq90jAiF1LOZ5VkQW0tETei1u4iZFwKtrsbzhGbt/GBq6fCGuyaVSuWC7zify
enBhD42cRmM+SvKhdnRPZNjl0Y/z9/TEZ4iZgHeLEzgL3TqXjHV04ctU+lErEy/siwVyW1dmd2tn
SX2v55l7YYZ7M49yVXRbFh05SWMckV9f1YgutfITpSO2nIs7ejZBCDDmkoPh5CiIFOgfLobil3SU
3x7ckGRB7g+BfvRVpu7HMtAfpwHy4vmbd2oUisEYPBHkv92OQP9M6EVlxjGxSHpM9WLetBFwsfOj
cJLnnrzazqHRRezPcsDhdBFDvL5nlGUHr3M67Wg1lAK20uxg+haVC29OKTld9dD2oZgFOWtt1aY0
miwCEp6hTXXwNp1xrEkW41XCJzkLEBepM3qbGGQ0eVi9HWGmyYruszdMrh7qWTZCJs/zpMCgHsON
zAY5w8acyvEb3kIT+iyNpKfZkVgTG33Gx5cmlJDfmy3r58ZKSm3xXwbTVSfNxbEe58YXLSO5YDsO
ka7tWnMsK7qzcmlKoV3l36cNftDEjYZmH6jM/0wsov6R6msQ4L+fLZz63uzGYaxQnmx0CQR301nm
gJCz86wfWW8Hj5rmajgFXKVFG1JCutu6jx36xb3IvqkygfKm8UpGoQU/kwSPXJJpUPgjP7Gp8uax
xKg5bpq4DWC4ImV9T/oICF20yR+1ntlhg3BQHw6uGCwIWR4tzDDLmTk2lj9wnm27wWNzTAd0JmFn
LB/RVLfTtVtn3OmqzI3tXIgcIy4lNVxxyMumsENY2W9V3VjaNk5972urGhy7UdXq9Nls4u3eezVR
KaYV480z6zaYr0wJVnlx3xabYB7SOJxyjbVxjASWQEGbrT8k1uB/rrsJFJoc3flBNE79AdJBDWWx
QVgWzrYu8vdtQnQvSbelKeEdTFgfRqt3v8TRMCZXddTp5RZKk/0gu0R+zaXXfSOUUoCehQAoDwa0
4yc8XHW2NTq7n/deYgDGrDKKi5BtLOB6jubRYxQBmGhoCEb5YZxtGqHKmdOnxmiyAYqxj17XHqeJ
IJ82KJ9qTREsNaV+QBvZGOhL1kUSv0+7edZJmNPkt9aZZPTOiKWX7LwMQAqsjCZ/H8ggGLeUT+dP
E86jXxOygXoTqchE5c1Z5JosEPeTIgjXxODa+V8K+Iyfkii1P8+ulv5leKVTbfhGeiMksRCDqZUQ
EnKwBk/ABm+9Iuxax2BdhM+RbVl8sTxOpRbPtyb5udnBsrB6biLqKzl3CCc5HFbBOjqbhEyGUeIF
7R6ElxDhmMWO2MgZosfGQB3qbbra9qe9klg3c/78Rzu1vY/oUdQPQoO4QRnREtFeGwJD2ztVPPEF
eEH/OZqLVoQRhu+njHyQD7GTaua2gfF/I2pX5ttotkkytc0kJ4SoKFmpCKuZyG+t/C5k8oXA7ic9
TN3MbD/BVpxuhQ7aZguD0c/CWLfTeif0ig2QUirjsdaT0exkAId3z+rcxuTgxFF6KJaa5E+7HvVP
ZIcmXFySjV8qPy4fc63hs80XlC44EVnu4XXLvYwbPpYeajaKffLh3rmVhplckma0yXQtGTcVKm2x
6V2l+wck0M4tO0NYlWqWH/R2IAtEIfQHPTLy3R31rIhFGKSqlSB1KKyFQV/BUGySwTNvs36Agt5a
wdgesSwj5Je50cFpdFIiJ0bVA+qha45+wMLUYW2Aa9LviUxnfIJYTyUJKmtB7KwZ6eMHCGbxnZvY
tbMrksrpNk5RUD5xgSGJjaEIFiHswxrNvR8UzgNNq542fq/jpOXcrx4RCzUAG4O2ecDT3t6JUus1
joKe+tLlI2Q5zOHpHUpg9nxpZtvMeKWBM13zKr8+RH0a5dtexE177Q8eEt6unhxta+hR5ez4ABN3
6w2++9SYJbOBinFH7E2HMQAApeoriNXc2NssGx6SADOKwiwtfNi/faLtY1vPQQSb8Nl3kzMGKKJM
zZiupTP18b5ATC/2eU1wUag4foDxART13OcWopGACwpCYlDMJ0G3tNgNg50vff60+DDZ89wf+joB
hpKyuTtWbk9HHASHg68fL9S4Scem2rtiLPoQYbTBc+vJoOdHVhwUI/qAY2hwpv6Z66K4H3ML+kYj
x+KoZWYRb0Xu8jrYgMlZDMwgtTfEGfUGXRRolXiehQ2ozhoGSMN8OiSODR0RmugryDSuSi936AbU
AjV0In2c4nHvBju7HoJ3FbEc5rtkHqGHkKGSfRaOMj+Z0kLeoY0t7nhZorLZjoFLDFXcyhgwTcpL
vCVPOf2w1AiT4wAjsg8B+poLjhCpBGqgIdnbs8ggx/hKu5JW3/uHWfNsPjk83OKqAantInz3zW+O
WSU9uNCi/0Vlc/442qzrgJms4Z4Nbyp3XS8qXj/kRA5nFWZBlpnOq8Elx329dweoDPuEPcPjUJM+
cAPNsPxO5goTcpmTlJfD9lpylJrpjhAYnAxD4qEHD5hDJB9IPT7Hepffs59vweE4wnscqib5q4K1
C+ehj1peJNvLnofMsr4rZXc/EzXrt66fl+lV4nWgFYgObR5avbetEB64uuaMNqa7iTLer5jArmef
eoCOnKWAFpO1g8FHbYzFh4iMuEcOAvOP2bPHn5Wc22aXNHr6ScWWL7e+PTo/YmeJc+vbpEjei6rw
gJcz+7dbbUrJja5mM7cOlXC692M6BcaBEjUQlzRJONs6hbDp+bK9KXYSzFYRQsyfvANCpznf2nU/
J7um6yifepD47xGqIJavddaaXV33nJVcnywEDH/JTVN6A/Ra1eW/ItXrzCbE+zV8v6X2s7E744kq
01RcRaXtEiQbRZCFmyLL342lCryrnui+H76mgho27EhRU5+jEkoRqKr3OUwMdiNBr31lmU/MjURW
c6gLSzsafKFOiDjNGR5GKwULXvVVP+5jt2s/JvFo3KearhxWCs0r9p5QxVMDTt3bgSsRN76fw66C
6cV2Y7RLAAZO55fJMc1y41ZmZK5trGEUV3A3gGxaldEYYUzl7c7tmoRo3q4ClTRjb6BI4FXzl1bX
rL8IyyZ7rlfz/KSjLqvI4SoRxgdRKT+PbKTesbkRpAFIv/81+06k7wFF+x6156D9YElDZbve9lPW
mdkHE5/AQgqu5tTW5basZnUzMCF9Ad0Vx1C+FEd/oc3eX1WelmXoxLDEqJagKrUyobobPZ/a96Ls
KwmZoPNv6ooNCyR0WhybGOAAJUxVIUFPC/mr9US1NyqiWUkCdTGa+PpwO+mFF3KGDXKYlwRLQpYY
9ungKGMbtzPsT1vS/9t45GVAeWc/8HXOfO1WM6Ju2InYnu46SMSPBpF9zuIQMJd3rmn70CgFqkny
sxo4dDKv9SMcBpvX2OYir3NkNw9tqTN/KrNLyjAaoHJ/5ftJl9SLrGAaDWrxHRRUfx+zc8Q/1yIv
ZCofgk/d1HhJ6OZV9b6lSQD4tMzix2aIrXrHVtwg0AlOxpOlYYLZj1o2znvKJ9VwZaRmFm9Rd8q/
ijRV7FMD2GD7mG05YjE2R1Css2xydsw0ko5HnXXfwSqxu3Iby3yg3Es2WOvCkg574sNgqo8zsjmF
3im6WlTX31jWu2QHT0VLr4mIRZWmAWMp4LxQjw69oEqBeoq4s/Y+8OkfncU+Z+e7hGgGI62l0EKm
/w0/Y3CbDS2YL+kX3xJLuX+VbWt+wHVAzBoy0elbn2ee2Fqk9Vl7c8GQlAuQpHthk9gY+34OlDe1
DdMf9JIYBN+N8cI08XWUwhuSJCwzDF64Jy1tpngDoQQeSixsrYZVu3BSihdmytS3CE/bgbgE8FgG
mJdMxxuCRi+4r1JJPRwqfvmxE766lGH1tk5nILBeuohIBqj0rvppZhAPTQLC/wgWD7V4xEmN+JMe
P6V1qdj79oSL+IppDFcN9gVn7VQikcTQhsJ0js0I3c8aFeGXFR/c+RPuUjt9fb4FA+FbtMkXvgGd
vNfnW5qGRmwCzD8iHW++EkJmOnDasIvu9CBLBUfVXD7C0IZpE9W6TEGkp/bD+Z/h7ZUuZm8KPVR5
UAyuKwbKdZnymto/ont1P/VQrJ9kBp/svxjFdxE6ICixcL+9vtKir9uqigb/2Bt+/1SrpL8xNDE+
nR/lRSe1vqEerQv65/yP9uHrYcyBamIGju4YNBzbQ7Nwcz2kxqTgFvvB92ZK689CED0KmDBr2TZa
k//ccez9Kghm/9JzamODPo35bcIO4HvBIpruvTifja1lZe4HNWqEp9ptc6EadeJFwJTMWwBficPP
usI3cCr3KdL6R1TN1U+v6D1tG+loRTclAc1DyDYSvyuznJbwasxGc8A5GD+fv3sn3oTFMwdYgf4u
UpnVM8oIj6rqYfSPrssp36NSv3fjId2eH+XtR7yoXfBbLhzWtxCWHlCnnkVtwB6RPZ6hp/pxjDPz
Kk9Y2s4P9bZuakIlQYrqUjalCWu+fhuWOrstZ94Gx07zg08bYzODE7kWjY71OHb0Z0tc/KZP3EVM
NLSs0Ueai4X+9aAl3EGd3UN0ZA8DeVMHBqT3Q7U7f2nLs1i96PS6mKLIPYMrs5YPJV2hOsOKomMy
+dVdSQH7B306KLMqH27qIB4vvKAnbqVNzx95ouGhgn3hs/1WV6yAO9oOC9Sxi3s6XXopd4v58C/s
jvM2MBrzphwUpM3zV3nqXiJfs+DIUf5DFvP6XupOq5JoSCMOsFSCfTSKhwDD1f6/GIXqooFhk7QE
fVVvJo1hsm14JUdrlj84gw07wtD+uP9NX9LhLYRN4aLMXrd9cp2WDh0u7ahoiSwh0tpeSje70F06
8XFRrwfhRz8fN9faN002HQKaJtGOsNhE2JhOvid6SF458z8U8P/Yzz/1Qvw20lp8pTs1cLaIkYLK
kluqlMVNTI+lQ6Ts53uvb/MJBqR2yUH8tiLMbeSNZzu4AKXXVXR0eXWVwMM9SiWi7wXp2N/txps2
wsvtT9gO6jlUnltfN+5UXnhNTtxb8IPo9TAq4txetyXowECyRll7tCl431sGqaoGWyK477pzQTly
4r1fJNZcJLIM1rHlR/nta4OkRFIZudxHCGnRXhItu21H94/b5myjUNawAUHwaQdrxb4IUs9oR1s7
amSabUHbzVvd7cer81/XidsGwWBxEC/mOJbl19fSaRkSnEnE15HVytDJ7GCXlyRPlMTr3J8f6u0q
ysoJHYgNBhiRYP2EoiJPnTwKAi7IIkc4ABQxdq71brJ8IEFFAyYuwTGicUYi5sdutueHfzMn04NY
3k0EWYisXiS1vz81XYPizGk6OrbxlGwdL6pB63T2nT1B5+t0YzqcH+/Nt8B4PMJF0sregY/h9Z01
nDZPxwjaG+wCTsZOZRNZXIpdOo7t1i2JsilMqb6kbnfJofDmmS4jL4pd3F+LG3aZHH57P1MCMNqi
saMjkHPI5Yk2vYeFkoaxnNSX8xf5Zp5ZhuJjQJfE+gMU4vVQLVsVDH4sPJEzTZ8z6eV71bj1Pp9i
Sv4drQ/X1bVLoJhTt5YtCus3XjdUUauFp8kMDs8js1tsZJ9kwLSWEi9j9P0Pi3RAFwDjJnPLS2bG
E7cVTzrnAVy/YKbWVoe216VG/V471l5n7HAsqW0rvZGKJNGG52/ryaEWsgaLBYu6a72+rUNqdlPl
DNrRqyJ/l0UEX02KQixOtku4pDeTmYekiMUI0zAfBjP366FcSnwSe4Z2NGtVke4JT9ya9eLCx3Bq
FHrFC6cYQTnd49ejEGOWF3wmPDFApttC6yQlhOCSafnEe4GwjB0JFCaW1/UoxlzNQ1HEKVxLDGcZ
ifXXKa7fG7y4lO2LLt1RghoesqSrL3wHbx8YJl5eDnzaiyd8bfB3rRw99ajSa2qB9jVdWbTBLfMu
fZ2I3Jvzb8ebiXT52NjooZldtnxrYb7L6V5nK5Fdz4NlfjfozwWbfnS7m9EwXJLbVFAVBwlNlSSW
rCWKhWWMfLvzP8T6iYJIxGRkWZipl9PxelsG5iebwHhpRz+uu7vKH9W7iITNC5d6chTWQCbRRdK6
NojPHbT/yqDFnGujIMtgrG7wiV76BtY3lGuh+g2+C1sv4cHrQzaqxJnmUB9f9/aMpimbyVDdMIX6
27SKyMmLIbnGGS7OPk+MkezN4NL3ceonWJwGuH4C7ABrXX7LKb+b8zS+1lxdfU37yv9iqYK863SJ
cVo0NnVz5VK6ho4/F1SK8WBEcnf+ka5f4uU28DR5mOhAceMvK+hv64blJwjtzUg7Zn5T0ZxChhRv
SMlVRAoFgXh/frT10rGMxk4bzN0LgNperY9tls7BOOvxNaLZYp+x//Ah+EbiS0ysVrmtWyP+MpWB
8YdCj2VY1DroaRHL6ZSrXl9kFWXIj6Iovm4DZiLHnNsrvxjSx5eL+yN70//DePOX3dN/NkF9en4h
m7/J6vnHQMUt/8cApRv/gj7CzhM5DIL1pQQw8Gf/z/8E/r9AEnLaA6qn+5RdmOr/CeshhhxpHgYW
6mEmD/KlWvVvBxRFueUIwraHmgI+ov8brH7/9/n876j30/DM15MPeha2UADUF7S6z0ZjvZwA0XG6
ierx3hrpc+KXHvbdaMUXXkj39TAclsDOIj1C2LusjBwQX7+RKg2yrp9AFtddGf3KWCtpBsS6HYVk
4ipyvazeI1YmTu2OTMM86HdRpg9PhYFs4mhpUhxLMfTxxqAn+BVdvuh2WaOra6I8RLATbmz/1JZD
dNjLqZhCG1F0vc0cQxpEcXh+ugMgXEBuVr79bOa1+Bxos7jt5xlwgIWYFOtT5CFf6aJY/uqFHX/3
gUXSikjkU1kJQKJoxdAY2WVKorhTEnSMaMbLejpTuX9j5lpabFq9mz6SJ1onW/oh7hMbccQY/RAU
5B8TnAAHz9CzhgjhTtIIIplgD4PTQRSoERz3zira+r2eWuYjojPDxKFCwxJsBYXgr23uqOoT/XR4
gShF8+dkRDaADsJABZhbFfkhkom7Rftr28/nJ7ETzw7f3kJjhGXFkryaxFKTkOdopiehe3NxlXDL
kBU08/ZPR+FdxiNjIyZGp+asSiAJgonRMwkcNHI9uyMcxrgu9cq+Oj/KevdEhg3fFaxoXnrkfW+O
gnVjoKfxPKje9BbtfNT2gxZPd0nGealhFfiCGNXa2kr1F1b5EyMjX+HQjpaM/VOw2oMS/eOVvnL9
vW2oK3dkszZV1neHmo+dFXeIQmn7g57+wx0M8BXSvAIWXYy2VFZX351RIDQr3MbZD/hPlnShifwV
9Ljn7+p6UWUU26dovFh/TGYrprjfF9UY7E0s6HnuDcK0KGsK/3vHR7zPhZP8oRb8ZShmTUZbflnj
BaaqKcHojM5ez6o+tOSoPiNami9ADJYF8vfaJqOwx8Zp59IvANa5vqC+sBqLOXsPBmXB9s8zAcwl
6UWbuh2Db75TQQP843u4ANSwSrJRNd/4KwbpBT5cOncfOTOhWqJJ99Bjp53syCn586EosMPdCxa+
6pqmptyiMbyJoZRH9lY6mypMdR/6Zgql/vxQp27k8uqxFcHJq68LBE48Y2gANbFnvpKhT5X9a1wR
rQl8IrofZoJc/ni85WRCqYdfHCpKr9/EuSAb1tAMgqXsAQlPzaHSNbLpEClSrCzitv6L8Vg22bZz
QjBZ5V+PZw6jISN8C/s6Fd4to5BbTh7zwfU4YxLPUPx1/vpOfGk4QE3aj2zh0e4vv//b9tVO3ZS5
jfEc3y0+lYQtHVtKgF8A9KYXpso34E8+AjJIKWa5tKew263mfWNoaOcTBrv3RtV8jqULW6YCARuH
+N/wKQ9TVNYkRixBVhGsmjgMKPtomykpRbLLJD6xq5qo1jbsbL9xSBsL0ir0Z3hsYULZz9gE1aD1
W/bhbrrBBTndlKwzKsyEO3+kjk06ZlMb5cyymSMP8zKLxIax1LIfTC7wWNI8sY5Cb8oLV75Miq+/
fh4lhls+fnZGnFdWN5lAEPqdmrcXDlFpNoyUbT60z+ef5KlBKOSSeENRnse5uru0tuhOxS3rQRoQ
aVxyqJ1ccrrOj7I+c8Gjg/G5rDjsueirrUaZCBRN8ZYEezkN7XGQrUatrNd3o9Or+6mMYjypnr7z
ejP+6KmLtE0+9Tf3ksMzEAtIKYuUf23wxdAbcO88cRhF3Q9fLcHediP0DDMumSDTgUx4+72R+O5n
uKT196LK/P4vD3HkNkaKF6Kyad7XrmYoGnWJ7IMrPUom/ZBnI4IH1U3A1PggmmemVPkpn6KR9D2J
qNcqtF9i9hJalnniJpsiUF6yEVkdP1ak7hKXNZHYrFtDTVSY1de3cuoi46pFd9ge4wKO0tYBAUyu
YiU1ezcHHs6KGOIH+e1+hX5NJk+4E/SWID5zvvLrgL+O2q/4ho0JdaNL8cLdlCap5Aeng595l7a1
+p65jXlHiAJKusE14IGmvmpIXieQ+aloObiFjl5BA0ISVoRzht5lK8ravTcdNMhbkz26QizZ2ZII
3zxt9x4y8w4ofATD2O+06nGKx+Cr348oB+ukcZ8srwvIsO3M9BYRvm+FOSGSWOei+slE5S3Z9/Zk
75mGLj9rTTRMW09qrtyAhpvyfUb1hehrNxC3owOEaKNAICHO0dDe86Obmr/zKhW8CxowCqGLnilb
0Nzje3seqi4kV8/63BW2iQok0nPSLhMnkptI0813OGWIGdby4tms4uprBMHlr4x1CfZrHrlkY6Ru
j3LVNrrHiXj0PpxRfv8cELrrITw90pULGdT4uPuhuXPtJLG2OXvqZgvxrliykV0IZLbdYjvKRdS+
G6jt+ktII3m6Ki2RFmaD43ziigsDO0+Z3Nlu04ABdJEJcc6Yh/LaTHocm1PXBUgQBQa3IW4nFHyN
OR/crOsK5EZNOW90l3iTUCe1ow8VrJYbEoidOewrUIkEcqN80fF53A5Th8gwLl2xrx0C2o+RZzYa
KqxC1wlE79VdK8UUoG4P3J8VFpdQOg2vHLKj/HEe2YN4RQ1nuhhR6AadiRK9rDR1RNbVhNrIpnX5
PeLP0UcNHxObtELaKcb0XkZsz3Ce5sylJbnbAFYMYRJ66dE8qgz6c3DFomGRH3oyQzcWcRSa8ynB
rEVIqb5PcqLz0GhV5sPcp0htUwID+32SZPbDWPVNcjBUWkc7LAERWG9uGDJ6lRGz2AcFwql26Fsc
x3bSow8igbna0IDP09A2qvxX1sWWdtdZZeNe8+Zm+X2tj4H2LtfgTYYG98sO67pTxNGLaM6vgqjp
rUMZtIRIRXkhukNjQzUjjHKEzjNOkZHHmxQud3uF+nARFo8KsseHyOVPvu+CyHwISigDOK3s7pOv
bONHVETgG1CUGd+iSiMW3pfjcNvGff4ZuXVyX6nezjdWWSZDmHpmu5iudPczGR7qSW9ik/37Ipyr
yyWEJ3cGkhbJyqTFb8aqEztCT3jrxDiqX7jKnOcpt7yBJolWXttpX2dXqNNRqVH4RkWkargc9wHv
itpPWa7KLbdK2Du+MKu7M1O7gdJGs7E+tMOY/Wi4895h1LPYJ7um0vUvgpQ87cI+7u1qxYnJxT/+
sojAUHi9JALGrxQwufiQDhhIstgy9m6VfT+/WJ3YcbB3Wc5lFEPZna6LEdUs/bIkzfSQIbZ9hyly
vB0nJBQbPwryj2XP9SFALoqPpSe+G1Gj2wcsLtYPZN8C18noZs+Q7uN8qyRTBknsvBigxs2YICXL
n+76gGLHNvXR2hMfOsXf2zbg3Ochh/8S5cZMYmZjRsQWpdgSDS8VP0q7nR4wb2WfA0/MF6oib29q
sFTwF7YTbdY3DXlN4ILo7Tg5tOPgHtBzO4ee7NsLNciTo3BTqS+zKcRB+/rR1ZFdWoLaL62qZZJq
ZRISlXgJzHVyFCRxi4EWBq61ekE6UJ/APsvkYGF+3+DzIb4TfdOF7cypURaqy1JSdWgYL4fs37a/
+SCZRx09OeRIUvmlhiVjdcUf9r6Xpj4lcrp2kIP5/6tNthqDKLZLJrXcCMSurSYnRGqa/+m18DeD
ywCFBYqKlttqa+ZbLHlpqiUHTboRE1+gfcU6VH47/0298AZebWZfhoHki9+Pyvca0D1rlktQEF4R
XeXuL1HKqjtWnZOYoenho9hwvo3vyWRQ5aZDW0AcZtq6G5IAtSc5jChRtMQur/TJ85/SyvafpyDR
frGfnfINDMOo2OfSmfMbvelrtD+z5xUb2YlBbOlO5jvpWsmDVZIqwESuBYt/KumIxMPJQKyDMZPY
lcqxI04xMLKPVWq7mHhyT71LUZh9y2ryZ3dWQu2aZsDsJAeFx0OEIBTxOlGQE8ZGh7v8Ie5iWaCs
ohC4O3//lme9vn0IFECFARXE1bj6eia/8wg+NAS3j7zRwrbLm6xI52utzMw/raLwpBAuE2HELgcE
z+oTgtRhVGQLiIMjXTT0OdnBAtsUqmO8weevat2X4A2nuMxLzuu3dOhWb3iReu4wtIE4qDq/6hI3
3jjK+c4p4GEq3Pveci7M7CfuornAuthyoCXhAl9/t1qdGBWO5vTgpKi8MZPP71oZEUD95xxuLg3J
7KJLe9E6WdbrodIgTpo0q9NDlZnyEOjNsHUyq/hw/ga+mYiWURwONhyNl4LeqkDU2DblYZK1Dxrh
JSEepGKLkuVSHtPJUajducGLa/dNs2rsJqWlY3oQHCrw9hjsPlxAgOevZV2ZfLljKMHZ47MYcVR8
fcccIGC1EEZ6UB4zXW0X9k2DUatlv6a13cZEAvc8GbjU7SJvvpwf+9QVMu7Sflg+MW911C7zIc68
hrGp5NXbANDwVuO8c4FBdnIUkCrsKkh84GN+fYVlPZQYSLz0QFS0syVwUZBh1P4pVHC5jzQXF9kq
B212S69HkdKKZ5Xr6SHLHT30Zk/DUaJfymM5cS3wn5GE8+0uqsTVspE1fac4CWcHc9aSqyDvqSa3
8vH8Y3lzal946LAo6EfzPrBqvL6UQdgWIOVaHrq6j7b1THuhsxz0dH2kxB6zv/HzZcD/30v8n4UO
Zxmo3H57Am+Iiv80E+U3OoOCziFd7256wSn++0//006EmriIL7BbvPT+dOa3v9uJINT+heLXIFHC
56G9NBr/aSdq+r8Qr+oWRGr+C1wLiO1+JypygKcxsjTlUR8Qj/InDcX1VE/KH4YQ9mgAgAldWE/1
QebApgEndZygR+2XlggWZAn+wvCH42/36P7vVfh3POr6U2AokBQLZ4ltJx321VTPPtTqZTo0xzmR
FZtoCuUtbvcL0+OJUdhvoqdms8Z+fd1MJ/ISM69ftEfbplg59Z0XGsTSbs9fy3pF5lr4opcZ+AWD
tb6WXNYUP2TdHnVodVg85a4Zsps4zm58TIehbHCk/vGIy5kAdTq/gOFbTb0u9kwULWZ71NJ+esib
ujuUqv6y2HlCcpasY5eVl57Yel6BrQNGbUlQRBXBHn61D6CaomrCcKdjPyZf7TF6DlLrYdbLAN1e
djh/fW9exGUsCxg1rwFt1HXDzawNTY/VMB0RfFhk/Xn+ztI0DgxTMFx4eG9ekWUo+JZ00BfhxfpY
MhGr7GeOOVFgdcEQ260NmpH03vMXhI6Uaff3zejL7UNMgLKahixKntW0PHcg0gfgdxlbXQ3T1Swf
KNwk1LUicCmhD0cO9xrWybz7ThgXFsZiarISWEtSUh1glw9hoQ+2tRbhfo8GVX4y404XYVdHToJD
VhnvDXo21k7vlpJr5Tj/y96ZNLeNpWv6r3Tc9UUGgINx0b0AQVKiSEm2JU8bhCzbmOcZv76fQ2fd
NCmV2L7Ri150RVRlVWZWHmI6w/e97/OO1EmU3JgojFlTvFISgy57kBmdAxchBkLZWQqscbI27Y+R
bTTZBkOwc6eIBgf8HB6oVATv2kjBhErDn3Ro14w+1bY2Cc+tiS1ZQRFzf4aRmzqbrmQ3gBN6tPAG
22MfrPO6jz9NVa1uRdwQh9pS7sw9TSUZfK315rh4c4FJkwNn1XTrhiLdc4m9DCg116p6U4inwwtQ
FzwsZmc9k19deJpVhfx4uwp/NKZIsL2GrdZ5aB+rxzjBkkUN1p5rGAlha63KuK3xt/VJlPsTdSbM
x2kzKJQM3Tsqsd3d3JoWAs2OUlokyuC5rpIy30xLQlo3bnDpOARS1nPPpBOxCsCQVxjhPoE8yB4T
aVcMdelcVKWJsSuN/qvzy9l4dDkaJknZXpEZo0ZagHRCxjEO+LQe4arbgA+58HFfHd2TlaN0q7Zx
yk0szZWTtFmOosBxmR/dl83RiekEunMzY6cHpiatmgtwhe6GMgv4+qOXE2YklpREWjzVhRaQFw61
LtZQTGBlZOHXSlpCkQDiDo0LOmybDkrUe0pkfeun1Fmokw3g6qaU9HMfMlvy6EYoGlatPUJxcGHD
rKYYxcy6UDKn84gotO+pner7ttOb9NroaSV7eVTCSTLxwyq+EaQB0e5ZRlU4Mrru3qrM9rAgj/wG
e2i2uEgRv5/ycRarmXrARhsn/X0bJrlEMCY8gTyJK2p2pWZ87Ce3dDAb5uUB6mdg+mORBPoqthTW
pwGAuZ9YJapCt8KrXVlOtCW/ugtXdIKDxpvqqoGqMOGI57MobHBn1mxuYleNCeLOtHjthqJaa3AR
gpsir2wX4ogRDzcFMP6bnoIix1Qw/ZDDp9JQ1noym9vc4uXfEk/PIzEB8uyrmYiktJ+cnyD9O6q8
Y0RlOVWLcNPxGqXrFDh74Dct/ygPpyh8kdGMCA1wYmLe+0VLWq+wMsh5as4mz+9tN1m1eueXSR7q
HqWs6o7w0zpHjCCtCzBsOc7rxKWa23QaFfI8WqP0KXQO+a+p8v9v9P6DIzXyWJn79O9FY+/jp/5k
e/df/59/icXEX6zJUhBGdQtKGyvA37s7Vf2LxYVaERse2vays/337k7/izVHFviwRUnLgdw7/Esr
pv2F3gS9IwoQDlfUo40/2dudLt+IxTjD48tjI4lqDLnH2fId2yXF+7ENt7aaQPao0zZ7cup52Ygs
0vblWA6XVEGni/ivEek9Iwiir8Mu+myLZ+aVy5FNlkihqOysxkjWPf9xYy3MDr89iVd2k6fH4L+H
wsyA3h6VE8j908XVAIcdzMoSbkVd4Oqu5t6YN0oLM9djt6597Eetj7f90OQYcUVM0/vt8U8X9+P4
MvpKpsPKVtSxOP5bbVOZ0gBSWBxvQSI4BPcVNUMU1R+aiBgHmy+mbEeWFThFyIPJ7zXUoq8E2Doz
2eqpdKxrAR7wiBzkuFqCP70kqlk8NpmFTDWVe3s6FLw+UiwFZR+3hGtKtkmyEcUU/JpS/q0P7MWN
YxQ2XRRkONegwpB//bcbh3ZcjwC+Rlsni+qr0Z4T312cSxzzF2+irJ9SdEYSgEOC4U5HCcF6F8yV
dLoQvsPfy4LueaxDx8+w3g//jUviQCC/WmCU/PF0sGFMW9byMdrWQVw+571Bf3CIpksw5TPCMe+C
NJHJngCPyUCheVayYIkdEGamdOcngE2Pk7l0KmE3pVNtyhkEEJnBfaZtqJ00V5RlmtBXhBs2ft9T
hroaK2FmK6NZ4mhVwT42PQ3LMynUZgf1AF/OQPFSmSTjYoE+thlSqrT+0qC88Jtght0XtFZ1CVV4
5sCWF8UmnPvGbGxAXX5h2RzzLlNgDG1rhBxrtrdD/84sBuXLBO/5m5ihGPsAUyKQD31SLj/dYC7r
mxZCk+ENNIHv+6Uny9IdSyXzm9KilphUomMzaishMT7FNFCHq0gW3Ntz5ywf354HdDmn/bPLP/5+
DFUOXwxWFc6EZ3NenWBucp0kpqcqjE+yp42xAyEOEI2ERoJfcNxx19oErnzbNVU8rWKnHZ6bIDe1
T1aYjek9leSc3tWAVLMkXRrNOQBySUkI2UtqEVQFq4gJme3ycZhXelIbwxrLn2vfKEumJu+yukOS
8/Z1yY/9/LI4uWC8xlNBe08/faeV2umj0lTjbdhwsgTEMizherCauWGWm5biXity0/R4SeKBvjp3
2bejUXUvfFpnTUZ5e+UnReYEFj1X2g9Pf4eup0Xd5ENKMbCExEz/GJUt3Zgg+xKE/WQ/1H0fcMiI
Qovwwdwpu/xa1ORQ+3NNXK1nkmt0F5No4LszPKpNGSYhwQYOzBWvLNX6Gz+dNCuzHJ10s0TsvDeq
1on3dhXr9m1aOXPnRU1hPf2nwF46jAYn38Ws0qex6LQvRBdMDUeMdAKhhM74gnzyxQrOxbN4Mx1K
EiRbg9OLJ3pcESnBNVvdBLbgRa6GzGQJOPXF4XzoMHyt3n7qxxr16WPHJ8vJmDmG/yLV6iezc5ks
CD0KqqJV6+CISmiohj4NDrad48LX/8myo8DaGHGjh1fmDEVrRS3asCAXxzbo53aqqDzzOTwP+hCJ
TTCEKgnjtptH70LbVmggIdPI/QW62w+LUDeZG4M3/boG1GKvh6l3tA04lyV9moMA8w4N18W5KcDz
PLx9qa/cW+T61BFkOY3ewNkKwTyzJFFVpduM08VjosaRX0HxfEz12fKX/qJF6tXxsBWgAzTQ976w
6KY5h5ElTLeJGkX3fQmRk/x1O79SBtBjBJ4l0/e3r1B+GqfPUqZPSGEau1PksWfLhTYusM+gkDMi
kiCvUaT4PgfUR4y0odxTSc4HjwJWmlx4i45z3ouR2RfxwUJV5x0+fYuIMENatQx0McGkoV9CqC58
Zj0H1WqYQnabk5AvpmROJeI2sfKHKmiIhOqisdsBhLSaKyfo3WFFCcp5fvuuvNwZGAg40OuxP0Ye
YZ8999DsEcrogt+Wz/1918zTdazYzpXeq9qFtcF4+QAkMhYjFwoJHsDZbbB7e2CXpadbNXLKezu3
oBfl6Cgu5ZGfztUgtlmA0Oqx27FNVtDzxAqy7o0RlRPjsPwUW8ONpq/G2GsQ/Mx2IuwuSuM1JLks
QoQpMnszFUNrXnjop+/3rx9h6TRfEfBx8CDo52TmCKnHuE7E6uvU4eTP6jgSVtpa7+quA6HV0bq4
8CBfu2o2x4gY2IajWT5bGUSZ2QFEkGS7pO7gYq7Iy2v4kcZDoUxFsbZAa3lCLY3tQnThuorGS8GW
r10xQFP6OrRIZUnx9IpLwhRjW52TbVYBttO1oXusIPR+4yQmDoGCptB/+9V9dUAssRJZjwzlPH8d
HiezsUH7LW+m+qAEmvZOKcroqWoQamthnl/Qorx2h1n+UWaT3cmrdfapdMSEpsvMpzIl6TJ5ehU3
myCZAY+mNAJ9YijqOzsw2xWTSvBuosh1/fYF/5Lu/zOTyLeKci8p2FAN8LMgvzm9x4pSWIlaWrSi
qZw9oIQ5ONQlTWw6Dal62Cfdx1AsNl1qI1M/Y21QH6hjxZmPojxCRGMsqrIbWcWdx0IKvNeaqAPq
nwh8zK2ojDz3ciS1aOFKHdgVu2jX2UAnJ6CyL+P5aUiD/otROQNKy9ENxg1JEG7hIQWJvwWW1rHn
jzsxeDGUOyzeCi1gb7C1frwNM6V+Gpp4gYumZzB9SbkNq7WVuSFJPaESuh9zPYYN3kxtrPqzUgSu
rEObgF71wUCQUwK426TwuBbOLwZ0S2HJnLV2nunzunaf3elqF312DPxWKC1b+9B3sai9DNFt4vXw
NnR/ttOlvS0X6kN6mKf1TWSYXb4xzaYiFI/G+LiJ3CA2PM2o1ebKFWCS+UVW516lIV52b4ox8N7i
qm3zK4yYklUmIjVdwYKsx7VV98ZVG1ldvR464Iee3uN03LdjbX7sNbKcfiKGFA10TrgUdKz7YFpN
zjKqK+DCruFLPh65iEJTyg8ugMrikJiGEt2gG8kpkJP8Ou10g8wNLw3LYvQrfMQoVhTVRf+HYUzz
IAQW5dZyAucWgt9sel0UzJ9REw76TT4rdnmowgxBbKot8XKfalECPzAF2bEqBz2o/MDMe25ZB8Hc
KxLQ4Zs2sY3Wnwromld2oPY/s8lUuPkmYVjrqtD0/nHS3VTZNEqC3D7KMHB/rvA4LL4Wjoh2UKrG
cFSnFLB+uizujukfGmUyNJT4kqlPRm8SxvApQAyXrZNQTNHKqJWigcSoac2qb+rBPqQogVIkLJEb
PvX1slTrIUpKzE4mauO1m6iNsafvGzWHLi6nfBPMuBvodRXzfF3CnayRM2sxTjhZhlrX7ByaA1vW
5aveGCpISeSetCQmFRYjfbtVG0ZAEdQpSI11pOd6tWLPsKAPHrTMWqfoVUtEr3HxyNdXFCurclnA
B2Q++apl70pOvEpWrAoe68HOhfuZDXohMOApyHMTdDgPGtHDs19QuP1QQKUK/X6ZFIgMMG8TXwNz
GV6Vtk5smsmxafDzqkUBvlAmxtYTa9mXTusqIgBMu21XUxkqnwAICsS8vc1bOgZu9NAiA61X5HpS
7FLUosRkp8029RIEyo+CM3O8CkVjOLuukkpf+6j6TeqiuiGUtelX6gDrdBUdNcLmUS8My37ZDkcV
cXRUFNel7X7WjjrjiojJckf6BxcYqiraVw4i4a17VCgnUqyMPhLdcvNLw3zUM2dS2iyOKmfO5Cie
naP6WYIIGt88qqLZQTa3uL0bXEVH3fRw1FCLZYq+x0oH3Jdb2j2OR721Wo5QvpKjDrvXnOxBj+fy
KyHCP6oUzzIhl0i3M7VAxT01MYru9qjuNqTQWxw1346Uf5tHJbjzSxUuBeJFbRG0MB514/1RQz4e
9eQdzad9clSZO0fFuZjJNkaGKZXoJFdkn+ujPp1njVY9kLL1TArYh6OWnY5KstePCveZaKGP9lH3
bgFa/+qArHnUjrp466iRD456+SXvzYyzs9TRa6bU1EdSXj8YEYZG66i6N1QpwCd9ByH0COjZI2i6
/imCwp3QK9f2T1tRbdKGzSQ7OHY5pasgBLeba7LdELldfF8aZhttVEiZXwjZcw+9Pig/h06P7yfV
nA55XOb6SqiRvnglLQHHY8vY/Ug0JKkUXDqGJHZKptzQN1rFQcnEGoUVc2xHmvQ2rSw38SnSNn/H
eP1Rbf7NvEpKcs9lNTdxGHX/699av+V4//W34UX+e3wpejj5H+ujyuFd/6OZ3/9o+6z7l41Z/p3/
p3/xb63Ew1z9+J//8fQ9Z/6JW0Kbn7vf6+wcBylCslbjC2MDwAmNg++/L9MjJe6i/3H/VPVPF/8p
fxfuDe2vY32a0j17Cqmh+FfhXth/kVUkK+cqh0KEEf9VuFcMKvcyoR5lEqwLueP7p3LvUrnHa0uD
wIJuI4vCf1K5PxrDftv2EJJOsQO/EQUlTuH0j0+3PZNpDGajNMu+EYlF+lVl9KPXxPWgrMI+I7m4
nNNs50Ases5yPDeJEo+lR8S2BfGbqBZm1GER3zMrsg7sd6LhCitzfWF7eHbM4ynJX8kWHOkIdRoy
QU9/ZRtzlgvmZd5rqbXcFOMMeNkdg96DHx2uxwDIENzVZNfmWcMqkc03HIvB3ZZkERt60H7OMu3S
bzrbI//6TTZhiC4JajqKgrPfNKbKHMQRuHltKKA5yR46BfN1w1l1F1bdB9MsxOeCWJhVO6q1P9CN
6elcxuNGaZ7qxm5pj+SqFyJvf0yHtrlQVzvPnD/+QFRtshCA9ZZz2+kPRBIdVEPBD5zwBuyJGW1Z
YUJ1gylzvAunuLkrwyzLvDlpwOu0tkptc4pDn943ykJZ+i9xPd2oo2qss8UdPMtJ5XJpLF6vadFG
jFmCr7wVG4UO5fq3D+v+1xv4u4bntKTw64mDOOIoCy9LPvfTH48atm90J132raohMxQ9QgMB4b+t
XdIbMjc6ZFnq/neeqcy3lPBHenZH19pvLYMOSQ3s1m7ZB6MwPpa9oUivkLmsNRDTDbIFu/igl0W/
XQKF6lFKS0FBAXmzDIp2Te2P40GPI+zTwkHaM5vF9lr4Y38mQ+e5kglDO4q+BpVXmH2nt2ZyAaM2
ZaTu9bnN1m3mihWJB+6FE5G8wacTg03HAl4pojFqs+ecqbkNjULkgbpPovEZtu2472p9nrcpZ7hx
PaPwJmqE4LyW2WIqvqhLJS5Wd+QndPIbpDaTIy89Rcm0OD+TlT1EdYzdy94OtILmAj3xRqnj9WjM
sd+LlnofdqvrphEVmG3aIGE7mjcOR9V3qC+GregcZbW4xnD19st5bC+++GHMlqYrEbzIIU8fQUQZ
OQltZk0N5vDjQN9821vAk72ZIvXOpMu06brmQHfLvrfm7Gu0oMBgx4JyAZTpamZRuNZER7ao2dV+
P1KWzA1F3Gt9Ya5BtWursRe5H9rR5NsqAvoQ2KZXQcS+gQ5RHqIiRiRtW+AvBhgdRhaN75YUv2Ew
KfVGNCGHyNjE3vj2dR/132fXDZTLIa0Z0ybNu7NCX4Nij8pwru4X+j/OSgsi6zG3AnI+SNvBRhMo
H6BijJuagMnBp6br3FBPnVkwkMp/VFQneOjsdtiQHeF8UNXR60yr1L0+yoTwmm4eH6KqnLpNgd4F
zk/bZd+1RjNu2FrpuMX0uOrXEY6I729f18tVkCx7oqZphxvyhT+vn6Ehgcmhi2WvVkXEEVXW7bwc
HtG8ipzYemwESHzfnCzt1mrtO6NV9WdFtYo7WotAR9XOLD8Z7a5R5hXlg/7zhZ/3YjKUPw9/C8sz
oXovEqJnnA45znx1XylW1fpIhVhJ0qxp3iug8+0doqnpVotcqBUJUXjZupoz4yZxAg0xkBC4OSxU
Mludz/hqajMlu7L1tL4FY+9inxaB8enCD5a7hvP3hAaVZN5QUTHOl54oUbGWDJ26792x3zeJEKsS
rdBVIObFn5B7XePWFsC+Q7td9zHn1N62PTGXySXzxMtVkHvHtouJUtoakAqcfqpUGBTat626Jye5
/xRiEL0eaSPgBB1bEmwUs71O5njaapVhbVKaYqGnmARKdqODc5WlyRMp0MLQoCE5pRPG1qgLbgw1
nR6WIESBSeDDxg4SoPyqkl+Y6uX39OI+shcU1FtpHZzL4B1VSRdadPz4kYUak+1zOE2flEb5UVPJ
t7JkY6nF5sLDk5PX+aD4w/EX0AZm+j27Y1aQTaE9Ltp+1gKcyF2v9I9m2QShb6lj8gmsf5iQq9Pj
mUwMJffnLiHCZcmFlXsWMXi1N2TFH8aMItMEq6G70PqODelz71VY9nqF8lzbt6KrbwJX7d8l5uxe
MAQcmTVn1877SkeEBZYbcK4r0fq2n0q00Pt5HK3vFg2qhrSOdupXmJrrB8K8TQylhuKoXqJK17zR
tPwZB8vehqMs3KKFLNGvEUZX15uWQW3Wqj7FnTfMsmtYxbHiXCWFXoE2cvXW/alYYXLBPnisR59c
BFV6yBOAnnU6MoggTl95mxqaTnkwPUQ1/FdrmuU0povG3IaOGgae1Q81p1giZO3iqnPABnpZPGa3
WoAi8lakTUK3puSvrsIOtfYON6St42NRSKaJG7zIHqZPsoag7bfjuigCDfEjNm5ScVS7+BLHVUWY
WBPHsD7VKZoI8nBqe7VotD59nCsjdRWFEBpZOUQ8WJEqRdJISASL35l1mvuxSCgX6kAglQ+6Uur1
atCmbrnC+kwFtJKSp3Xh2JnwwgmbmSTuhsNdosd1+dz1Az954jTmPHYiWtRDF0WE7IjEjDu/Gewp
vKL3H6DWyY1AIzlhdICuhkU7spudcZ59s1xFhLdJCcjwhtnfvCq6NFcurKXai0mdGBGcJ2xxpa3L
OE+sjitroiQSxge9M8VHkYEl9mXF87uRWuJLq9fNp8XSsm/6gGSZRLQaAWiTMmGrhpII6Dag+bxG
oGb0nYykKb9CtlFsY6vgz9vLogyXfrE8ZZ2+V6jyJZKXf+Fwcs725HhcgoSKd3Qg0mK8Y+vSfa2C
mnlhSlUkwPMYEQ820yEaPcQjSucF5ew+KbYbVRc2YC82p3ImpxEjj66chM8BjOqM6CUs9OiQp84E
DQBE4FM9It/d1qOqhb5bWM1zH5j1wWnZuiMP1Tr7wu14sTlF94/gh3/TPIBNf7YNz8byiBaODnXm
ymQzJLEPul32Fw5CRzTw6V3nLEIJgKY8tFcETWdfc6nM1IXV4lCg/HZWrrMkzdYii6xedQPVonda
1nfkhI3smGYnKn7WkdWvU62a7ghITC/tAU+7mrJggsaJvhsde1xNULNOf07W0JsH6k61e4qd60Zx
lW1JV3KLKEG5fnslenmH5Y5Mx/yg0fnCPXU6lDuMlGz7vjzMtTVf6Yq7bCPQZ/6fjgLQBtje0cqh
4oc5HUWJMr2s+7Y8qE1mriJzsn1itKsLK/mLagHxFfIaIOfwDeGEPh2lG5bATSFrHHrDLbeKQyrg
6BTGgz0MLglAbDUvvJ6vDWijFsS9w1RHI/B0QDidonYnuzrEoVay5EzOh2yOB5MFyqk09luacil7
85UhyZKXzkcqSRIzfTqkqRcj2WQRDUOe57po8uaqcGb3inwoCklaW3bahWf38mWk88JoQJ3wx7zY
txPoZMxVy2ceggXZEjxUyYaF3X42EYD8fPs9eXUs6imY8hkKxvTp1fXOpMYz5feDRuurWxkitGi7
cAR/Mlj3128P9tqthPolKUMW+rLj4vFbISLR5hZYvF4fzIqAJgGvZk89oL7VEXwhhYLXduF1efXq
oLrLGiXf2/lshlTRceJ5rA/lqFUeFS11V0Ks2lnUjTZvX9vLyZuHhlzZkPMVjjX99EbaGZu3BW/p
gV4Ktu5FmXRfZxm/ssi8hPrhpD/bJAr3dt0Kovg6e7x0nnrt7sovnk0A7w4gt9NfgHuS0gJwn0OV
R2Bj4CviWYjqLqo8AdNNJ9k7LapNsyyCiMMiaca10+YWCGWSjad1FYKt3qWKQajdlOFKLUjDM77g
cCa6sevGOrnwNhANwi86WQTIgDBwRjGJ8IFp55wNncSuEeGvdVjKmki669wGn0/txW0L+25wkh9W
1Cn8ePgNLLpbS3r1BZ2IT04K0jYmMFsdn9gDDvQNgOMgc7yl5DJ5Vu58yYC474cASOSc5dEKtuVd
56gCFlug+mPYrIjATL5xjWRk6+2t2WrlR2OprR80oFYDwXQeM9CzZd5GYaZda1H7E+rGcNXGzeT3
9LR8jrX9FXlMkFL0OKW7X2r8VEmeIMX7KgfLc8gSxS9Gt/sSafO+7oR96/aWRvVMUSD+DF/QMzmb
AJOIn6Ujm0twMH7oztU+LJJyLdzZ9pskatYchIf7JRv2Q9UB1FeCbD44LJNey0nZE9Ose8swISRA
A1DuSeHGRERaWF7DXTQbS/X13srXImn7dRjilzL63u+s+ocm8tIrup5sUeVL3ia3QRuU9FKtj6Xa
Oh4NtWWVQynzxlIcQsyzD24Z13u6/j8XQBF37tx+h+rVcKHGjdX17rs6NrqnRDj5+2GonlIBRM3u
w3pNyKq+BXCQbdRsQLM2BerWygI/M1O0mEINvCZxmtWohkRMOeN01Q/powOAaNNgFsyMLwR31oe0
hkZAe79QsLpoJAauUsLLSr8alFb3rM6xGbsd7u0WMNDNQEpc1kcG7DY2Gt+zWeHEgGk5swkONYnx
Yt8ZltCnih6AzTDl+T4uyEVbz4ivyhU32HnXUeI5JGjr0k1bDUD2QM8U7sZJxfKpDfSq/k6C1qBt
evit1U2VCrPxMMvP7c80rG2PYHMDlarSCvVDm4ThJ1hYw1cTIdnoIbCZXDqKorvOm0Cb/CCLrPdk
rDkRDVqdx9QLC3ciqec2Yli9CW/UIBu+kWhnaHc04RbzqpwE5Ghill3nAGs11DwCEd1NrUvIgTIl
9fdUdeefHHsbjTN9wYdQY/Fq/YLoN2OVG0tv+7rSjMWmL7SlJFLYCpUrIzZLB5FnnxMaZKM6K5rO
frAncyDNWUThF3hgabfWkkEbNsQmlrvaGaY7papum0m3CmIhYxhWLF92uKYfOZBY2+WRcU0rOL5L
QOYtN13cd4Quu3ZaezFa43alx3a9FdoSfEs7pfQR7tZXcWzl1z2O1Dvi4Ih0FnXZ7XLIXu+BI1Wx
3yoWlj2DDOlPUx6BEa8qpei8LGtwQWaLUecrIQqyckuzLG/mobM/DJzbtI2utVXhOWprYyc025iW
PImuHYAQkd5RL89Gj4zU/F5BzsiXAEDXOJQDTfaR0EUknawiYM/Q8ZAoTEowH28Z5PdDS4rBytYS
B4hKrsmoTbn59RQl0z8U5tDJF63LvxpVWmD9g7STe/HQinhTLfR0PQMpUuS3KSvaNmX/FvjkhOKQ
1eeQbKMyD4z5pltakJkToCYinM16ajaTjSbd1wu37jxCidw9cEHd3jhmB42Q9r6W+pM9drjcDM7C
nkwO/FG2sxqunVLVdtpiROEmmIZwwVnYWc0mrfNYUJJsm3in69P0Ey2VofvhGGSVV5PimqxS2HKc
/CXPjXMJX9WK4Fq2e0kX40HMSXQh4TZQddIcqMe8bxNVda5kQtM7okcr6yaGIoEWBpPft6Beht4f
rThIngDB9el9XtX1Pe7I+mvOHDZ8htkOgTHviu4HLB+kGWMcWctqAkLQU6JpehUtpCBJTKGEHGGb
RCjTeJijya0e+nB5In62uWumMkgwMFhJ82UA82DviGFUo0NkjgavqYEyHteZ26ebBnqyunYzoXye
dSsotjki8nBtpXk8+G5HvPHGndDQQG7vy+82FjTlCsBepHhtvoyIX8g+wVMT1UVP/5aK9S5G9dSv
oiEaySQtobBD7urTbwoBh8+1VdCFCWvqDn5bt0O2HgtS0WG9QRBFmEVZ2TP1eIkORju27yEcGj1v
V2cvKyuZQsCAw6J/jxOz+hI2ivHdVOnEqWQJi609lNlwMzoOVRo0O4nOup8nHxHPdvEHhCKL8YF2
SdOs57jV8ZUmYz2t2Wlq+vWQkH/Ae+OE7s2SJcNyNzqYYd+1YuSwoifjQMciteZy1ZF1qW2tEoTe
z5IaO4bqvFbILjcqFPboH2R+1YQv06gdPnYTjV/xTs1DpAltzV5lAwHHKq4XBFE5SctR1XvCGvV4
k4AIGzdawHHwhno5pPyKwsC4FyUp39e93pGE/Z+4nm1zyIP0oHTEjvLlK9so1ep9WoGMntLK+HDc
6P3f0w38v6gIQKPNaUmiMdl9wzZz2TxeUARIJ94rqoDX/kl/qwKE+AujATkD+POETDf628ynu3/J
Ewb+Pqp35FywDfzbzIeMgD0XjnzmAM4epLj9IwnQ/8IOBFsBGQOCYxWHy59IAk6355RUTAlrlmd7
aMMyeuJ0czwtZWEjQVLpZgTJRm2Juh3G3njo8jhCwqc67whymHwhgh9NYFxqO56eQ36NTqeP+pJL
y4Mq0+no4KWKyXZrkvAi+j4WKqibUC3iVSzi+v63J3X/a/f871vMv4ZCnA10ALcba8vZkTyxzKS3
01bdqTO7t7no5Xe7VvR0XNt2vl/y8s9oeXJENCY0RFBeM6tToj29uFiUuZh5yrum6afaA1/6LElH
uff2hb28hywaUGfAD9EmpkB2OgyTbpIgEVN3imDhjwZ73GmlOqy1ym6v/ngozotUgjB+8ofzk1RS
sQj0WMF2KmXgH2M3UQ+ucIyLqlcvVFBeuSpQGBwa8RhwAD9/XC6+IAW+fLAj2TZmJwTse602cesF
8iBw4Raelp6OT4rBpPONwqxgzNNbONIF5A1Ngl1XKvFPi074jg5nv3377r0cRYoMOG7SQYYWdR5r
2WTBZDAf27s0Hot1X+ksYkFTXhhFFrD+OTvKa6GTz2oiQ/7opJ+jyhyltaJATa0drXNkvmhpgF+P
KT57LFXXQT9SoNfs5cKb8cq1YYqn9cf8RqP43P1AJnSX4hmxd6ISI6JflaqXUV0KGjs9yR+vDRMw
U5bN2ZiS09mrDqMz6kD+iZ2oKTlZoo7eJZGT7SCH2nsnFOUFn9TpS8iSgO8AMDrwdxDNzFJnJa7e
LFWcaQbve1noP+e6Ix+mDEyOUFNjXkhMPL22X2PhwzxGGbIYnPfh2rIN69RUtN1Ul8raKSCW5UaW
35WLG13XpJav/+RtZDxKP7woKop/xHC/kM2/1ZyapEkDRLTMTulUriEVuLo3m256KcHsXM0lB5L9
TGk7x5WOmu304yqLPOXgz6QBMJU8elbiJPXUeVLWtuRi9X3HwaKIpxs9GUoq+O3wvSxI/Tb6VhxM
ujZ3poim7EIt8QhW/Oc7OV6/wLFD2wzwIrF1Zz/L7t2yG+dB3U1jMg0rPXXmzdgktH/czt6gsTWv
idDutuCEZ7+f1RHhhh5BP2trWvL2cJNje91MLWbFCqTHlkXcWU9Z6e4s0S2bjDll9thm2n4yZ5hf
ubeKz/4tuJqGkmiQmi2zVgfZCjhsvQ/qOrnNUJ5D38gvTQmnH+evS6V2j7yHUjRLxFkBLG2ryM4x
+OyE1Rqr2BwiDC0Ejrz9Qr34WPj4pasCU6Hc6ZxnSE/KME0o7bVdG7TpVVcVyqphe7/jU3YvLA5y
5Tx/dswGMiQEiyw7uNNXKiiWNh/GUduNE8ITDi72WlVM99pRAAAbhS38QFPnu+YyJe+1i8SEhLeY
hRB37ll7JrFGEbpNo0F+NIeDkjNKUDfVc2GNw4XG7itPDWgRM49D3ZQcoLNORd5hx1hmTds1McDz
mqPvFbHt2QUR3KujwJnEC4vPi63w6a1UUuwk0SyY4oD7brFffuMcIi58bK88L3KUBIJbmulUGs++
tbgN7TJWIn0XWoO+xkRfUbLJiaoXndV6c6rbH7JxztZF2E4XlsNXhwanhagQyCXS29Pr660gVwIR
6rsgnbP7Km/zZ46r2uPSW8MnVcBV5hcHK9FalyzGLyZ0CZ2ig8aekzITu87TkYPGBIBKksGuCIzh
EMaIwQEFxV9IDp1W41LXF9QMr7ya7P6QTcgiO9zks8UR4bGmjTELSBHb2rtcqXtfXeqk9FCbWqu3
v/XX3hqiIIQ8N2DkEmd3te5wJjhi4YFmNGSTPI02ZWReig05F2rJpQP/IVsK3hyK4efCohYADtl7
hr6zgvJmyqp1ViH9jZQ9uNfHHEAN6Yc/amHc95H7pDX/m7szWY4bydb0u/Qe1zAPi94gJhJBSqIo
pqTcwDSkMA+OGXj6/lxVt02BiEsYq3edm8oyZaaHO9z9HD/nH1xf0aZDD6IVPSjd2cVwsd4+byRZ
0WiTbyY6+pfftNUmLLXLVCdId1TGujA7F4Olv/0mJSpLY0ceZ0CNV2mHUqdxv9TCCJK0KJ77LMqC
KEXvaWmWLTr+rU3K64SYIEUmgKdfTkhVRS9Sh6FUfAK+q0s0BKAo7JcQUep7pEi6+9cXkHjPf3F1
d/NYwS2VbroGjWV14ThFoRsYUlgBJiEe7Pl4tJ4B2Lhw79zWKHdA35ZxP0PX+piiQK/5gPVktZyK
xb2Bpnu0m63ZNHyqosVj0cboM4k40aY727FGLF6mGi6ZmeTOfd3TWNsryOI/4RA9fkJVu898YO4g
fDurWPbFlCfuXhWeWfqepoiPuon+/h49YvXFUUYHxFMD8rJ0aGEg6zQYn6iTWp8jMeTPbp2U81GN
jOLQzB6OWB54rWetyUEBj0WiniE4Nb/Qg1OeQiBpzSEHdfgPYCMVTgjO1OdkMbxPFip4NQWxnOgB
6LN5dKmzFsdWG6Jn0kFv3s8xDU+f4OoWdyBh0OGa58k6w/Zyp32qdl11Z4jZtHell8a/GqzA9ova
3ytaSNU6nlrzC4CbnMxEVzt3b1AHy7HKJJDs8FGh0UDhzXL3cLfQ7UiVGn9X04l13BImJ/yLMkT3
A/sTV8ESrRhevLwLX7xyTj5YS+I+GWGqmPC5bAU3synDM8DyIpgCObL5AM3DrHh2nVD/OUfVPCJL
t3jRzlKb5dOk16FxtNRQ+ZLN82wdKr1ECUyUUQE7qPDivQ13Kd1VcdEGeuSAS+uF2fyFyh3SBKBm
KNv1yJP+WNJo5B8wayyZSEDphqgoP9pdgVqaCFUIw8DZ8/uC6Dz4JQypoMyLPD8UxZKdxmTSfwxh
aVOZVrJ29oXXWJ/rOHFKsM6jGe+Kwsv+huanVTuhF4W6F0LxbESZnWkjQt44h7RJeTeRJINKkPWe
P9VrMChXTXDEJpyGvnifY1a992rThJSlhnBDhfP25MIiWkhQDfkhgJPL8TS4XREWB3rQ6MVyn8Mo
wHfb3IJ03whJ0mmXBy+NZmBPq7jf2P1C58gxApc+ht8bWrpfdKw4oiV+q/gioQKOuuyhy0IeqIvL
CdW6EeJCbRtB3Jbi4+hE0V3tjluZ9G+nqvXtxWRQHzB5gKIAeDnMOAiUOiLVCKKl807glkKgo2X4
fi5m2ne9CRTaT1qDInU1DcdsQLxw1OmCvH6L3totVM1smYkCiFqH+oXC/oJFghHkE4qoMIrRnFYU
CyTWMno5z+803BjxRsCHKUG+LZUmkFtdBfxpNhqtwrk0EGk444nj6ruy5pnz+rxuxQb4GFKbhaY4
j+/L1R0c2MMGxzlAcPKnXSufxGw9gqd8Ig1+BrDw9PpwNyZF/EGWRIYjmaNdDkd5VfE6JF2Cbijz
I5Us9CZH6LZvH4WXL60gbKSuk9+qtCC1jkwqUnSLh29v7hRz3sKnrfSCfj/yQOIA4oXPAiFhfYNM
Iq+bGMmyoC9Np9/hvxOp93Hc1+8jmp7cpROKErsGY/bh0KmlLLQaKnqANjztXalFBOCyDevPKbjs
n2Uz64eUY4aLzFCHxcFqtPmkG6PRYJlRDbCka73/2SS2G9CXyD9gx1F/e/u6kWvxXcD+UVda5bMD
NQ9n6TUzaNo+3hvD5BymcIjfvrFxAnflsxj9FNj5l3tg5A70XHRQg8hSh0+Lmo1fUAXa8g+4dW9g
JMEJorJjs93kif6j2hLPVaYaoWIGNoJCn0uW8+OcKo6D9ZFl3KVd2kI9YkN+nxH8PcLGmIPW2KzF
3NrwKNTCsUFOQ8p7XP6Kzi7I96zKCvSm0N6NYR3/vYQE/tc/3I1bHx1hKI0aR9jj2rgcZXGBcSQz
STKZx485DaPTYKkSxTFsoSVvzAeVMHoHoLSghKwfd/nsACwRoR7E0+j6iVW6u0KBaff6fG6NIjsu
7ERsn+BiXs5nsKwM9dRWD5JeS45KkbrgPshAXh/lxt3n/jnKKlbaNKInoxn1oKjG4bHOCvsZjzHd
L8ZkOWuirT/lAzT91we9OTWcH8B3Ar4kel5OrY+yBbvYgqlVLuT21pvw6nOsjQW8sSE8khuAz0QP
lJFWo0RK3Jk6kIwgDS0djJH3RaVrgaXZJlz1VrHRg4kCnB8BFygNq3O29HFqNxR0g6VVx10Ovtbb
j+BX6b5wPnHh6svEl62Uw2JB7IPsgQsX1ea9FRrhc11WNbT3TYbMjWXmV8mZcxqkDOflMhsuxQBA
20bQUIA45IQEQASx2NhBK8m73yGA+MLLCtQppf91xUgoczpVXm4GedR8CC3t1wCi1s+b/ugq1ncv
Sfap8tkRyjsCxfOSzTogCP0JzBgoLd3et25T+VE/fkza+alrABJoy9bdcGslCLiUtyka0PxcnSXD
jCxHn1mJWXfFOZoXVFFSoRxe39a3CgeerOtSpqMrRmvxcsFlr5OyTm8GYWza0Q7vGjFQd13M98lY
d9kRWYZZHAtEHjIwGWOZP+qo/eh+6FXZS9Ug+bxLEBj5y9SRzjj0MbLWfmNWlKxe/6G3lkPSNiT9
FAsxXf75H2EhgkXplQ1pFQYOzk4scXFQU7f7T0aBVYQCOkk4xcvLUSbqex2zNgNhwbarUIE5osDe
fP4P5oKwH/Jcmk3VYhVJk2Wc4zBn9/H4Gw4CvtwJiKe5scmv7xLZMqcDBD2K+azbWyTglm3DWw/M
Xo2Og2tVvpdo3bGuurcvmxwKfxzToZlGefRy2WawsLnRVsRsNUJ5hVrA+MWJs60SzK0ZEbroM9GP
gPe+GgZhnD5RDG5H9JLSxHdS6lxRZnnHRAurp9e/0a2xaA3S9+EWApW7OheVY2AhYLPfAOFFD5Mw
2p2JtnYwN9WWQ8l1PCN3I6dyUUklHV3nGrR19GRSLCuoxrm+s7DSel+iYn2iGeN+T8KYFzuUwa09
eHNUiFwg0nlxkg1ffrMELJTmtKoV5NRg3msZ8py+WipL53eC4+UvdEL+MSGtnuNYhYWqzk7kHIe+
1NNDqLZwV7s+BxO6tH1h7CN8d94LL3O+uMCDwN+KZvrcWXr91PRG/NNyK9NDjqRpv4Dub4ZduZTG
O03UxmdVFN4T4EU39V2Ev+9zCj3vRDu1z2M0eS5dnjI+gdsqiOpAYn2KPH19tOqq/4DkTPUtRYlL
2/UmRSMAZLax+EbhRU9NVSVP2GdqL5S8m8bX2zT8VPfhUgCai+x/Ep2qyMbt8bv7ffnmpU1GSIHR
QFi9UiJNRCYSq/XsAHH70BdWYdxBfQXqFnJdmR0EnCwFoDmkxl0eVplfZ7aTIvCUFA+eklT717fw
9ZXJryBhkfGUZHodQZRkEliCTnZQpAjRVoA6dqE1uxuTvrWPSGFpptO2k/XRy32k9/FiZY1uB2ai
TF8nkNC7rEqKu7BNkmBZOtsHx+tt+I3fmBr9WIDqvxEj5GSXgw6ajudWnzgkL9FXrTDSp2Yo7S+v
r99vZdPV59R5VUmyrsyZ17ERgJ/pLu0QBj1W5lix2SpaFvM0j8oR9raOMHw41GeBhwUqt0Nun3tF
bdy73FGho0+oESAe4SovapbQlCWLMKOgb83lXbPY5U9RCy868DYMvV3uNfoRFTUMELIB0SWAbQZZ
RpcOpi8KPSMRm0wAv1SeSwxIDSEsySGrPvRtNOc7L+Ghy3UYSshp4dE+UcIy/5QkSxkFaV8CVy5a
OJs+td12y5bvxkUp+bASTOGiWb2WhphAKvJX5ARtOVb7WQdO3nWiOlTC2AKf3BiK0EzNigeGLeUj
L7/6spSwEIXm8LzAjF2EFMUVwEgo/PTdRvC8scGAFjAp5JC5Ztfiu9StB0rtM7NCqRUlw8Y+xRUq
Fq/vsFujYGcoi1NyPuvmEAqonh5NpRsoi+UBM9ZKf9CXLc7MjVGQpCTY8wJUaTyvbnq9aHNA/4kZ
yO7lsbMhdRvFpGwgQG6NAuOIqGzRPrwqK861ZyZpYppB6fbWsYFDf4dkQbLxQJKfeHUkKSeSaPBZ
yAI8uUX+SANnM6OyydVA7wVniF7NXky4+46x0KOIk30S2gc0JX69/pnkU+hqUDwnZSNGlfn45aC1
gxhfjlFT4BBAyHyV+Ckj5/riNqV2iqOYz/b6gDfWUqKTGJHSqU6x9nLAYSCEJumgBCZsiV1tGikg
YLs4vXUUPpNEtCD0BOju99Pgj7UckOFSQR6DRHJTcfTw2giMiRL/20dBDwTME7AWibS6nEtjtU6n
zznSP1VePoXVpB+hDmtvH0XnmUQu4yGDxNvucpShwZtkDhsvcGQ3pteb9pud0TF/81yAo/FlKLKB
i5ReYn/uviQNnbKF/xuAEYmept6ZjvmSZS//wSgYwEvHSWa0do0YG7iCGlJsQdf29d3iWrEfz272
5r4GfQD8/YD18Mq8kswn50CBECnpYHF1jH8WY6HeUC4b30W7PjsgTwDLAmyCE8zL+3LJbGkGLvBT
CVCJTHcoZS53tCPTfYMp92mxY4lomqt9O8zTg1KW1YPSmeFdncIkxHbYPZio5p3rKDIeZ+jO2tGc
Pe/5zetNP1dW4CjEyXbF5U8sM3MxML+SP1Fz70EEDntbGFvn4Dp4gaGik4TitQuYbI37c+sBJ/W8
CIN4gRCcD3N6HOY6C0bM6DdAP9fXB0P9fvORHvFQWhUvmaeoXDMDEeom1U+61sm7uhLuBori5iik
lZKxSKV0XavyqAAgby3CQFcFTjkaXhIqTeZPr3+cm8tGORGFcJopAHwuP07qxkns1ozitnV4UPUo
PlroKGNPP2yBKG4NBQ4FL0B5+K7y5Vj3ispA0p1PItqdpg/urgwd7Ki6fAvxcmvtuEhMDEyodbtr
ESmra0e0NOlFlV41v0OONTkuOhJjb187WkTU6zl6YAtX+yATqOOOCvlrHDr1HYBqolVsV3sok/39
60PdmpDEjJOfUbG6qtsNlo5vsjqHQZa3GUK3iXV08qHfuE1ujkKbFPgcq4YV3+VmgNqXdG5i0MKL
l+yvrJxeyrjQN9L+WzcW7FcZr1g2YuPlIINiFkkukjDgdaqcgFRk7yDmYEc/qMWzowJgePvS4fVC
zGN/k6etgkpM271ugZgGWEhUz6T/xiPXxFaafmvpHMq1KO5DQL8KkHZk4Huf84Go30zwJaM5MM3F
+/j6XG4dIYcGEb1lOjdcppdrt9gFYJB2DANj0JJ9pObKY2S2yp3AuPb4+lA3JyStY+k30Jk0V0OZ
TaVpCEzwmUhKv1VogZ4T4HFb63ZzRn8MI//8jySpUT10SruFS6Hq9EeIVO+VyotPtdJv2eHe2ncc
INlfJZOhP3k5UqSFs9O2Oq/NtnsZDNx3I2VCc7IauoNtVVuiBLcmJn26oUQwB9bwcrh57pZCYoaD
JTOdT0jWiM9V2FnQC5Np3ji3v7/7ZQYNjwSEFqILdBCvWq5dBhJhaZCNWRwLqhg13B8Abqovw+Cc
lMiaAnVKy1PK44LypCbuM7t2MFibwk90irHSQU3gR+vyd2/eQ9IhgYIylwkOsKslH8bFyrNhsAOn
6MtDyeX2oZucLZn8GzuV88YOBT8OncFZHXBL6Ypciww7gAxd+7LOcEgQO99Y45ujyPUFugnfZN05
GUUTUk1iLpoNxZLLanyMhJq8PbWQWA6iCSBDCr2rkIJIUO22gppSuKQDCLRJPcB67d5+tj0AsKoU
n0dVZf3gsuZaZBXVhkDVi+nsxlpKeyIWb36x8lggkcf4CHH7K2mHBEgUPmXCCYrFHPAMdNGgR3Zw
481wfc6QUeFlQtBiwa5Md72YfpqWwjKp9AWV0LLyHmlxu4c87tQ3B2GGwp1VjsJLa61VYRZ1jjB7
bQe1Mxl7tU0M+uPmm6kechZoxhEj0VG5wgG0tY6jj8EoeDq6fpz0w84bZviz/bJVUL2uLcqhSCgk
oYWTutptyqSMuh6zp+ce/89MCYZY/Iyc/rGYOUmYcW6UFW99K9qvALyRu4G3tbrsa83tS5yE2N0Q
/cHejeMhKdzy1OZx8v84lIwGf8QVpTNQoJ1YxbhUEdBzx+HZFbr1kBuds3/9lrsOLGxuqecsb2Au
oNVQ6DwtRYGlSzAm1pPlND+NqP0StS4KpXX58/Wxrm8hORYwFFqKlE3XJdPCzh2vkdXAREHvDtBm
c+jbZcuK+cZ3knV2sgxAgNCyV/d2j+yB4pkT9Ouog6IoEgWF8xHJg32BXsvGqbo1mIxZNEjJA/ib
yy+larmbtpHtBFGEe4ACRBTY5vJjyDleb148knQKnKwg9+v62hvHwmvGWHeDmTL6Ts2d4djQ/n9z
oJD0BblylLQ4VKuCfSOcqRFYOgWQQzBtQalnrzTVP2+eCg9PghHvKSnQtTq5vITHJNepLmgN+isd
nmB3eaUrW1ORH/oyr+BVSFNY9jmlGtAqVx91u1LGIg8DxwqX/qDC8v9RjkP6sYEu8WmsUsf2Uee1
9RNuHek7sKt5DOUeiviutswSKv5QzulBH434frCMGnfduJvYVgsuImYSZuU+C4WLAe8c9tTcwyE8
2yCtUr9xwqX14Sa1qJ4mmO6wWeunJLTqX7mH6y4YGx37itaplR8TOiXKjgaM3aA14BjZqRnt4WOF
Lkq4gwPUPNIbyoa7XnHdn22rFS7CiUllH0RoGJnfuFUx30eK6eL0kBfGu1EoSYFQAP4bh7hqgJ5V
Ghgp8GbaltTY70L3Kyu8Rv6ZxYTcreeGQWoPKJmPTr2P1Tb60rpGt69dpPZpiOpYJyT6x8EIh5O7
VKafZYu6m4a2OuSaNuzC2jDxZK7Uo40T926c7eUpK8KX0ggnP1ST7L09tt67uUzfnr5bKNFRXZfl
YkLi6kY3S1ysTKtVAgtLzV2D1/QxrtTxHOX2j9d3/I1rAiCXrE1bUpx+XegaXDRcY/k2Vc3J3bsD
UiOU8jEN9+JoI6W4ccmSS1LlRI+KiK+uDlfoph2SDqUSKFERHUI3r0+sQbNxuG5NCC6J9NBl/XjU
Xd57YaMvSl0mCkTVZj66fZ3tNBF9NTvV2ghQt+Yjwy2FQtAK18UDoyjyYraVgBK0ux/GJLPAjY3T
FqTm1oyotwAaZ9Wgi602A22quMYDJTo7TlXtl6It/0KcorpbFmfcqK2v1QlJ96VUOnpedNep86xb
O4ZAc8c2GyXQhumR8PGxMaqXuUZAt8jn1LedWPXtsvyI1szJHJSXeMLm7/Udefs3APCiO8cBgLd2
+QVJmkSjgWIKjNxuf1lhJ75Cz1z2Ll6RxzxELUZDrumUFY2zHzHIeXL7TtulBKE3v7MkaZxaM5FN
1ptXb80Io8quCLUwmHPRn0sT7oRRRP3bwye4QGnXKA87NLbL6dYTfdEh9QgGGeI5GhXPQ6oj6rWx
qvJ0rW5EPIGl/jodh+uktFlmJY/bWgEJqGtnPTe7lzTWRgTETCztQSMM9x2y90/JvHjvl1rtP0W4
eH14/VfcODJUKYmwoNZZz/WKmpqwtcXjXrOhdT9HRRjTORTVRo/gxoGRoB4elGAaZNn6ckUNhAu9
VM+icxGG477zKv1ZNlwfYy1St8A9N2YEVIEivCtRC1fXTdnhE417gBKEKgdkp4fDJ9FljbHx+dZS
7fJgIp9hkJyiM0EjZ3UoUgd3AtdgHJyFHivL3kmlYT8t44dlsO7bybtLVZSrluJhGpN3sxHdt+48
+W0fvc9t/G3BbnQgvCetOKKx83eXi2OaiUNWeHdJpFS7WZ32loTHJIa5canceA4Bi6SH4mDLSPdz
dYzQPsymXDWjM7DILz2gDJ8yJVRpEojC4H9xc9yIAbc+CmB3IFfAebGgW+VXqHu5drSgG4b3VodI
ljbfE+eGjYf4rYuKAbgmpXQ+fbVVQPMQ8JvCqUSezEXOOyzSU5yj82aDvrPsd3Y4jKhKu9+btsS3
0v4w9s7bLyhyeyqJuDvTI1+3QnOUC1FxmaMzJC/tZwIaSvNFAzjqzacW4RhZJUerXl7Ml+eJAqyI
64UPGE+uuU+zRvMrOIv/yUfjGJEZo6JMdetyFCkkjRBbGJ1zVKkobFRSr06fk3H/+mxuQPWpAfCX
hvwD28NbPcMqpYYarJrJOdcw1fQXryufdIRjIj9FCQe86AKaxY/03kk/5KMXf+R5VeQ4TE/1r9d/
yvVFBVgTzQTegtRamPfllMFs5oarVtlZt4x7F9GrE3IUDqlE9vH1gW5AvCT/m73CnUj7Zq1Xm2Z5
p7rgm85Zi4D3EtrFtwbm9CkBIkuqXirDvsIc+RCLuds1BQkgS4GDsT5r8YOap3hCbPyi63iE4TmJ
mrw4SW7W7WKcwltrEVF5rvnsT6IW0XuKKfUjvokZ0Jhqvu/nonsSeW+9LzGNCWC5VG8uC7IFsB+i
RMP5uUJLOqlrZLgWJ8R2rf8a2kK9z7QSD/vX53r9mXmx8qRkHM4pKfDlZ/YST+sGhLzPaKThjrYM
9okewHSq1HrrLX5jKOmBxduS9jcccfnnf9Rn0rLJ6JDrhKNoRkAUudlDhaA0ACd9s0e+VjFFiRi8
DHcfWhDId0OAuhwMOTuac/ZUn51waOv9BDcgPIiUdOzcta3t7BNkAV4KnN7o1NeNmPymGdMCyc4U
FXpKBPFOFbXzjACa5j1DOurifREZsOfha+nVgw2bfvKRntGzvTINNXaNVdfruyya419ioLah1VP0
3cSqpfZje+o/IhEZjcittcnnItOGwlcWjq3vxe28fGj0OoIDEbVIqOES+RxancE9YzrD5w4ca7fH
sZAL1OYnYZ+OXpWGAeHS/8IiZfmLp6+moFFKToo2eFYMd8ns8c91dWW/B/JW4WFYaZY4lKPW3mVZ
VuN7GiblwU2aOPSrchk/I6lv/a2EiQ6Zd9aQpKwzHsw+jpjmP1mia/qxjWvrc5e39QsLOJ2L2oHy
V6KN/jhSejEOtUBSPqAYOw3PWhmG0QFzS0XshJcIw49DhAjQE62VxR+MFv5BODf1i1OlsHOWykLb
cyxm5Gd8SI7GyUpa1g3/Xb2aCVR0pu/dZUK911ay4ducdWO+r8oJtTqe03R5e2/BdnLuCls5m0am
u495ksQBf5vN+xHXU6XcG4uqMkrUpXcChcpvo7mIclc5AAj9pW8ze2cq2ei99HqLpbfSpt6zwB6c
dKZTKcYaQ9F+bGdHpUyKcuOZcGSZvltVNv6MmeWOP0OtqPJ3ra7hee9oi1NTNUZ429cKTfsHxZD8
edBsILJpVLUD6U4UftVaZVyoeYhUiqq6TX0UZVZUxyTpo59h5vHwN1MT/jCNZy3dhVVbfiaoisY3
Ut2J76ZcsWoIFAue4yoOtv1ZM7wyOykg15Q9KrfW7MdxBO/baSfo5fZsVN2u9QZTKl12pjjMpA8d
FZ14tPEvzVM83zN6N/tcL2oYGbMyWTsnLifEh5yyQNBVUFkF9ZpXvJOl2bqfeI3LR0KXZjks88R/
LYw63UMGQWnqU6os86HreczvOlxS6/2c6AIjWqsgqHmALZFKJQF7X6B9zF6MkX3bgyGP300mOD7f
6538faazHEfLnvJohyo7Zg+diJlZP3Y4FZpLXH1yKjPEO7czkl9j5FIgmzBtb/1KCb33pWLhGdAv
vW2ippg3f4FSRAnTVmIjPymkf/0Ht87tCm6ON+KxNurezqNDYvvYrjnK3uq7anroGs3+/Pvy/f9a
tdAE+Ez68z/rFF55Fv773/hvl0L1v2R30EPIgo4A7aj/q0homP9F45AaJ0R06koGj81/KxLyr9Bj
l/8aUEtpliIfoq10SPzf/0sx/ovHB106SXAiTqq4Fvy3i+OHfz0yMYDEDzL6p/r3//9Tqe8yPacp
QpOMdFIyFLCeoidzGTdiR8yla6jt2cAL+JzNSQU/Ncz/9eH/x1EuQ+HvUaBBwp9WMbkAKrZK88KQ
m9FKY0bJovDvbpYaEEUzPkz9slk2kRnwxePaogxEoQ5wt8QRrLv6NcphcV3O41lTFs51SLPJ2XuZ
Wc07s02XT6PQ26fSiqqvKJwpHtcQx43bTosNTFCTDKsH3VROJfIMZyIgJDX0j1r3ECr98EC7o6kP
f2yXG5/gcnHAJVGul4ZwoIQl6H+dA7cYxdoparE8XYrpYGAMdJ+iQ3a2xqXfyH4uv/bvoag38HrF
XJHEe93eS2o0n11M5c6ovyo+7wspMO7Zb6uiyAlRQqEQh72dBAfol3sqd3h5OpOYzqqRq9g+YPQD
LWsLEbAWFWMYNBV48Gmgq6ne/34S/pFfIdye4UoKYdNo53J6APtgLHdGVVnlzkVLOfZTXQP3PjQx
Qly1tNw72OU4fUNvHnub3DC751pXK9WPRzd9HszBw5ZRzNE3wx16/C8B7P+cMc/DVFLpSpvSZd6m
DwPdNYRzp74v/C7p7K8ZisrGwUAJ6wEdRQ15N8odzWFxnRGlLGNU211jFVjTvXXX8Fj5XVmhXiVp
P5eLjE2oq9Wos5yhZ6CNniHny+/pvXOJIfXp9bF+m9L/cabkUuOTBWebOhEAozX+wDMIcypeVOck
KV10nxXqjvsQxfn0zo2d2LszS2U+K9OsfKy1hmKIwLcNJWnbnJ5UD1ciDIHaPL1LIZbrODoTlI4i
cVUhTcV5kjvIc58aJMR/tqBAupexqO3kPYLnIPQWPaeVVecLvTlvnnkOZprS43inxM0eYWL7YYTO
M+2pjopwN+Z2o2M5RD0VRZHGuAceXeS7qcGr9GDWhvv3oC2K2JsEOZyL4sy1fT2d0y3xitUtJFcM
3SKwxPTtud7XhHq7t5K0zjPzbHiU8xDCSbv9oqjRLtdD62kwkuJHZaES/PqHur5K5PuVkeXjksOx
ql+OfTI4Sq0bZ5QdNduXeJLTksF09Ln6tkp715eJPOOoOcDdQDVqzQ60DMyrsnQxzyH+irscaMoe
5niz8S6UAehy69FpBCkgSYGGQ+n3cp9bhaULJ3HM85yW5b05xNGzkZvuo5Voyx1CMeMGJvXWeBQP
QXSA3fOu1LYSHoOIZlQWWz2k89f2FXCYJL03+ghPzLJpn1//ZDL0redHwYrMUTolX5Eewg718ciq
rTO/KP7ahMt4rOnv3Veo75AeLto7M5mWI1rBW/Ctdc2MPcornuAuXXP4r6/5222luzD4B+tMM5AE
29ZgyYXTP21ZDfeImxcPjWYliNln9gl1Kg485pq4rbHury/B9a6VymaSJAwoE7DOatd2JWpGTRfZ
5zCDlIMx4LTD/TLaK3W11faXhav1asuCN4RlKB7gdi5309B6akWlwzo3rmb6Bf3EfVJU5b4YK/VO
b/pz3zMw76r2OMZVtFG8u/GtUSmWL3QyQQmqvRy9AFyZW51unftqscEc6MOJI8TCWmnn81aID9Qt
ENrP+nkjx1gX2uS3vhh6dYz6umltxAftcyPEeKD8HB8cRGTfQ7pGgFOkLDmfPRjA9e5a0UcnXiMb
eJXr+4JkE0QMtphY511VmUyURbLaTZHdTwu4V5qGFn0rtrAJa7oAM5WVeaQAdWADEgVxucihERuk
ALV6Fpo9QTdtKIjs0s5A3UzkSfF9SGK18h38WHhItolG810M037oEkj4iFo6nZ8loRPMJa6DPtJl
0OOmemgOBcWraeO7XO8IZMWRkAF0hwujviYO5Mi0lhQe1TPVhvNiHNopMFrnUR1DxNkc613aLlts
y+vPQJLJEZCfgEryOjI5FnAN4GqsT0E5QVFjzVfjZtrINK8PGrcn7ut8ZpJ+jvXlV1iyXAihh8Z5
7q1x19f9cN8CKtlT0YuOFS+cXagt9bepcusD+Czz/vUr5cYkZegFlQk5noO2OudiXnoN2od5rrTK
8tvaSx4cJ042vt7NUSgacyWpmAKt06JSs4omV0bzTA6tBqx69imNMmdDNdS+ziWI6ThmyhDIU3AN
H6rNOsQ1Ch+DCktkzJGKdN6bTmu/DAjn4iDTibTxraxwotMyjV27K4TWOwczVGwDA4fSVFEIMFE0
VerWeuy10pIyVkX2o4QmhvxfansTPjtl9I+7QAH9wN85ZyMfUBAb6sHqz62tle4dxvVp6+fFKFCv
U5dePQpzSr67Q6F5R62cu18AWIz3jt1PzZ2Fo88XA1GVX+MAdcufqqr8pMKwLfemOlX/lDNcuTtT
qXLzRCHMBRkz9AWeMEJXxgNeNM4nKjRi3g1WmXzRYc9+aWPEKQG/RBRlcEtO/CI0NOGLElWHUxgV
wwLPApULCkOtA72ugl5rqnV7r0MwzXelOeHMKbS8Hf1kpgOwcyOR/lCNeNDv+5raEWs4ev0eRFD9
q7bNSntWKpuazJu3JvFH4wn/r9eLvBL+eLZYsTkPU4RX0STc8p1A6c4fhJN9fX2UG3vGppYPlITM
SWpRXI5CVdKsY5OtWUbh9FxkS/dMmQg73UEYhwlixbFRimH/+qA3bjPUgdihCBGAuV0Dwk3UA1tK
c8651rr6TgfKf6wWw7gjizJ3Zuwlh8Zz012MWccWN+rGUZRyGzz6YcJSG5F//seq6jkNlTxanHNb
esM+jlNrn/Uk/q9P8PYoRG9aYxhZrO9OtUuwc2kM5zyxqQ+zYqNXUdnVxrWy7hDJEAaqWHaiJGDQ
WTcpEq1Rai2O3XPqeAkYfvxGrVGrTvXUtEeBpPdXVDOND9OoJs8en/YbkT3eD007fEt4aG8ABW5s
JfmSR+EHziKQwtVdivNVnGWt4pyTqs2D1EwfW7rVo5vku7gPp3dYum752MkYfZmmgQ6nZEsctySx
efU1oyiqLWdw3PNQKuFj13vmIRnN9o4zvGXmeD07viYmAXxNWG1XBuBJb0UAIWLlbERauYsEzqP+
3Du1vlfCokM9UY1+iUjM7cZHvp4iXxeuO9kgB5T2zeWG1dxw6uawVc5KM01fC5wEMt8Rjf4S0ubc
GOs6GMudRHyi6kOqv6ZvqzzLSg9h0TO2I6UDLHSgAIe/ayX20PExc1PhSGLhY3pARcMpJi+tBO5f
b775IPrxwuF1hVYzwexyypD90FrQyugBawtsmxyeFNMkvrx+RG+tKycH5jMsWyn0cjlIjCpJZ0Zj
9OC0NcqqptN9WiTCt+xje8NF4OZQpBmyQsuNvpaz0zS+XOW20UNVFfodon35UXQFIixxpG2cwZtD
IT9JlkhH8erdQoeHTpjRRQ9aXz41iVnf9aH5sji52MDrXN9wEquHGzh4M/i267hRex3+kK0XPXSt
qjwiL1B802Kz3L/+ka4PHQEQu2MpBojliCx9/3lb9xCEMlLq4gGpfOsO76zyS9O14nvtWe27qY26
D2Kxoo3PdT01RgKyg84WI1IHvRy0mKumxPqufKAranc+4mTlg5sWzvfX53ZjGDwqKXfzyGGSV+qd
AGkJ5139EFdtcl/kZvKuJ06f3j4KMEeChGaSy68xSDEgghQxfMwMsCje1bLTl6PmvHFir7adThGE
lwK5JxEJBsrlktUhbd+5V8TDMLjN3kBnyO+c6Wu76FvqgjdGQqSAQwR5AgTAOn4XnRVFbqG3Dw3N
wR34nr9N0ZwdjAA3tt7NgagXI4rAXUir/HJKiqhUxUQh9/+wdl5Lbitbmn6ViXOPE/AmYrovANAU
yTLy2nWDKJmd8Cbh8fTzQX3OjEhWFFsdc7lDWwKRSLPyX7854ZMSBdgP5YHQ8iy0xuEW2AAnh3/s
7BxbhS74n609FrbfyzAI6Gi9SsHqnSKhzVGoyronecMjSy0lxz4NFb3WdN8dEvbadNTFszHMQJ/C
z6wptkMdOgzXThfpT5qk8YdIyadvWkOuTVjPXnZqC9cRmI3is+YTCSxz7IBKcQ/iqBZBYsL/DrFO
JxtCaeZpF9N6/bJOqJO7DAldaOqwb7VNrhq072K2fLuyjARGgMAkGh7tMPldW66ZnI0YdvjVyoSs
Qsf8OJZELvJ/m8Q+osabMUCdneqbnEacW6Rai8nPSPP7kcGP4zAt7NlDTlZ1pnYs4UK4h6WUlO9l
qogjFeOo36mlpZSP0lDzftdZS77Ammu5sOtL7NoPUUk2436ghZ8FxjKoHvm5jfPdNcc02ZutRrRu
RqKmu7NixemxCFegfBHPrTifVNxkqtLHNRhEP82XKIFZkIz6pqs4mYH0Hfzu1chy9umvHMRJzP3e
sMEpQt3Nloletpo964Pn7Cu3IcS6KRG+PlRzbnoPjSAq/Ui+n/C2zoj1plHiWH9KcOffWerUFKAM
Ik03lpPVf+vcXp4tEqNbUAdVPcnUbqVv94354g39VO06bSEnVgwJBIE0Mor3BcyIj0Yu+o9Ra2Zy
HwGRqWFBNoWkGWWiwq7sOiKswi05x0tpHRZnzpOQ3st0VMCwXlL88zPYGI72RcXe+8OwkNKxhWmq
Q+twuj4J2P+Kb1wieVMVflwVWJIay/cmg2jNTh1bFfKRJ5zAxWy88VUcfO9qWCH5fvKk1u2JXdCn
UMRwdkJFw3MI265MIewUvLvbqUNaZu/UqNSJVh2NpfWHbiQ5pKE9RbRmP98vwzxLnzaOcmJzGGq/
REJhbJu6htgG4cnw4WLGc1iSyY4Nea3YHyo7iuLASKpE+KPpJh+ayI1nLpg1V78x66D/OZGw73V7
3OJ8Bo9XL+lLeMpgMXq6m39lVyiR4SwtJGKut+Yjfi16E6RV2d6VjVFqYW7qUgaVl5QpiX5uh5Uw
oNYEdQedUAitNlYDp6yyhZxYGNlhpuYwlZA2OH/lXo5XmEU255e+HvrvyO3i90ss7bXv0aWzn6UQ
Avy0yWGJIM9NvyQqWVWhqrjJS+MMC5XZPLg/iziapF8qODjdK5UxPJhWWj+X6ijmIF6i/rnRSFiD
g106L5Uqoi7A5H6ipx955jOQyDAFdZPmePA3OU0p1UWxlRHV+b1hUj7lYuge0Ki3gz/Ksf5kOnXx
M58ZElaJ7bxTsCwn+5Aan62/UZ81u7UM3+gNK/M519M7RcU8emOlU5sdFM9Ly32rRPZXbtp675sk
V8LP6KcpDYq5tpSN6uV2FsbIYb4WY43fsSpNoYUAAtP7VYmKVMYyq8HHZLJuiHc1oRm5uF39wCsZ
ymxaLApTq60iNYjE4r2rStVqglbaWebPSxl9TVgVP2dHz54J1c1fZqvBHLyMMuWrMWvNAXNlZcV7
rem+01rtU9kZAo8Oo55n38FkHLO6tFU+D7YuXwwjaZ/xMemexZD1nt90WHj5gzP2MUWDOR1T7j9V
mMUeYZ9DNg2PRadpz6bsuo+KW88/jVTaX2vyQSismzoGZknRArkOlBvfk1C6Y0VMaAO99AOlsvvX
EEsj9ysv0n+qyzjIIOVvnBZSAQu/0Hrzx9irThIujjtVQSUkGjJww+7HFI/Vc95V5o8ak4mPhbXo
fzkIOJnKLc4wPt0Z+VSoRMr6RDLrT5DIxh/eUmHj1U/qlPEc3f0Yu4mZB3iIsa2ZFuFJS23VhS8c
U2YB0eykZUauzKDMtm62kYkzJsQQ6MSvotm0x1Dp+2oCEBrIdp1UHOv8YYlMGyqVkyBQUGbna1sU
5t92OiSR39LL/QQDSUX5VMMWQMagk3TdJClbu6NLf/Rc2dCYE2QFdk0Ud5tfhdP/Pw4KpIbv7BUy
EXH3n/fJd1m11d/d/z4L1PzP8/+EcPGv54cv3cvZf2xKmsDzu/6nnN//bPu8+zc3Y/0//7t/+L9+
/vpXPs71z//4x8uPIikxa2JT/N79419/dPfjP/6x1hf0/n6rI9dn/Ot/eHgp+Lv3Lzmhga/+pX/H
Z5r/9FT44dhjYcP1f7kquvVPBzoFjAEWIwUnhc6/uCqKzp+gCiVMAfooRmQ6v+DfXBX3n6ttCDXQ
Lz+HFUX4E67KWm3+Vk2BkXP5QTiBdBwhAf2b89JNN1pDxBhOHWjEa5t5zshvw7A+bDjQCI223P+a
Kv9N1gqDwLvQpyFKCSCCR15QgsVo0lWXznCQUyt3NOOX+4XNcuvNxEb89hme/uslfqfhXL8apj7r
nZXWLbD5pfRr7HM3H2HjsVFN/bYwEkh3ideRG9IsG9WabwXS/YoaPR/LX1xb8iLggzCkF+821VbT
9AspUZ3AEpWDXQz3UQ0dch/r5Mdv7MK0pD+MsYSmiffCFo3helI6Wc8pm5foBDy7zFqSCSTHmXAX
M9/GPeaVEN4UZVkLGcsMnDQzA/iIHGqRgTUy3t5xMHpT8mJpnfFci3Z6WYouav0W54jIpxFoKWyS
pvbood4CNSR94Weu9LPmu8LVP8RugeCvQBJX79E0EqA+23auBx1XMheOaDY950U32p+TvmiKDeLM
BkOZhJpmsrCFDqpGMTkTncIb9h5lD+nsiuHeUyy3XWA3TpwzFp7ShkIZiifNjK3vgpmPLyPkApy9
ymOfVooWAOlQICWZ22xyLudFwNW1N/xWShtO6Fgu+36dzEGUqMX3OapQOXLOVa2fioJ0bku4cxpW
MKHezWNc9H6dzzJexaAe8zmCOZLLITrpOCAqm1jBwDEs64IcQR8kqoTm4IUzyppy6xit2KfwmG4R
GC6uLkx+LmHINTBowA8CJsP5YoO1VgzNIom9cAzimKep3YwgdX/hZC22GmGJ/uz12sc2S4yPOXTj
G2vv2u9jfT53QeQBqEOvcJwod/DkX4gzKVGWvOiYh9ehUXtin9TjtNpbCkqwwuifDFkZ+Pfr8hiT
5dRuJjOut3GkwOyce0xLAt3K5lsAxmWX8dfw0K9nqyTUkQV7geI3VukJMuTNQypdkxory0kaZ154
bgtxusXcm3NR3lduPu0tq9I+K3KOw45EptBpRCgz69SO+fuha+dA0ZU/NmzEXh74ATUEDnC03y6W
N8SGAn1IbRwqZTKDhclMLk813wCLLhkE6yggIMNOm7MHXPFX5+p31L1eJvgsqy+k0JEkTlMxRiQs
xd370pSmGXqixhujlLbcFXYBrRdLMWPcT9k4fNOjGzf7V38NBwOHFB5pvDjH1++okqUsqTfjyUti
Ls0nbCy4di52l9uBnneT65tGRV57z5XLN5Xc9PNYycUR3wS5hGW3MKXf3tQvm+4MD/EPEP/B0Wjg
MVnOf1Dd5OZijRhaEsVejr4i4U/Adh++QnWCjqhOViaCSO/Ekya87iBnI/9qStjON0ZmffHzzR6I
20SFC/mAFX05Gzy3T8wxGogriTz3rhVm5JvAD3dp4d6K+rxoAa2vvMpawDyQT7IyL17ZgHksGwB9
AIsBP1I9eiQr5dO46PCWh/hTq2R9UA3mjYm4bkYXL8gWQT8b6Ihs70t/irKfUV0Zwj7MtppT/SZR
OPRJe4OKdD2MvBrYHk0JVIZIJ88/Z1Z0JMhjYXwYHbeFE2CIHVAzkaQTqaVvT51fkcvnbwRbmN41
nHp91SNdzOXW1IvGq6V7qDvNHcJGWdSHscNhJjDKgfA9u9DSdxKLo79FllfSd1Ru1n7OTXdbdE0t
g7bOUjwHNOdzjsj4GwW7+Aq0Vrwbp6zigo7h+ns3rodNrCfmcVTM06DmSeenCEA+OO08zr7S0E9b
K3qLUJHI+Y7LmFnsjbI127uqsdXHIXP0mRu/08Xc+dTECUWqJ+8T6HjvKtwbki0Gu7rY5GrVvSNf
muYqHqFd7jfV7LAtNrRy3aYu7tyidYqQ5gD042Zwzb0XwX7cQMxrbym4X9m5mSc2hwvk6pV1cQED
T6kX5wVN44POHWP27W7oBI1js/5KEVt8zdTRKgIlS0hYtAYxWEExtd96K8W8YdHdOFT1jAQ0+prA
dLOqaAXe6tXwre1L8entSXBdFHK6QOODx4AnHhP8fL6N3tg5DdDVoXQ6DQDNsh5FVqu+0LplVQnf
onleOzWs5m7g/0jbWcFXTomaC4ild3V0SICtQO4gJTNdEvvkLWbzlfqphSaUSFffmVa+q8CIiAbs
PP2h19X0r0IbvLDvhuknFq3Nh0yvkth3ASe/keXbnVo199C5yEUGJloa8iN7OdzpMoON+fa4XfZP
2YTg2kM9Xvc66G2XUdIVQLi+UKYdSjFoHzPEi6Ecm+pTbWnxflaqckuUn3JckBrhM2HWZOe6y7YW
qv2szNmfGxuy+0NedFf6LEt5/cy/HZLdDFJVOzrKNt3EAGFq+53S6MmNhgCg8uUmaHLwsVMgQeVG
xvw+f47TWala4MN7rLxKbBWz14ogdltc5sZ+0JxNPRoF5FmlSeOtO8zmA5qWlEjkfIg/NK10fvLv
Nz/KRqZHNZ+ib3VpFuW20ozpoWuFNxxyHQnJzujtWPfHblRmn+Tmmmp6VaQECsXiHvSB8Gx3LYmD
OuEy6uvNiDN5GhuR8Inya3I0nVOOS3VMSCw9+nmB827b8icRVMqnCe6Zs8uAAmFoN1wnPuSLlXxV
IpXVZndm2W2yRq0aephxb7JB6NpDjQKLeplgxg305GjjoiP63CVDCnY5O03vZ4tUD0hy+PFFPuZj
QDXDloq7VYi35brOkQXmX0eznj7R3Zdp0CEAbfwFNRERkLlD7kUno34KG0vLSO62B2cIkAqZpq8P
5D9OKv7Nphyqbaqmy6M6iJRkS2nHzn0KivLcVpo3BfZgYZ0ul6IsfVnH8liwFh9NV5hKoAq3FJuh
Hb2fiwXbhR1S7wE1Y7Wugn5G9DZGKhnXRTyjoh7cpJgCDMblsK3HRbwblMZZAstO6vdpbWcftSKy
42AuSu+jmG33JUrAg9cgJTb4Pk/Y9cWgku7pjMgAPC7RX+Jemymdk6EPM4q+eyfvGblpqdpNucTJ
X4SyN9Hey2wDGZJp4JQDU9vIPrWpO3weNYzjAkjzU4WdeptulArn3UDXZhcseV4UhFwxQZPtoib3
ozSUZlO5XancO6IRClc/A29Ct6YFfpgdC5HgZCEh8y1Fx0utb1RxasbZLXzqeB4vOk88j6ae6Mjg
XJGEk5JYRpD1o9sRMNMmLinAeFQJ2TtEOhkGui7wLmIdkkKf+l3RYMi5KaZ4J4xSKYBiR2rXyPWK
w1xwcH5OaqeM7jzZVcmWa3LmUtBXcvATlHKZX81qMW2NsoEpSaecDAYuiKPpW3M+fyLCxFOw3mnT
FIFiF7mBbkfON9EoAt2lULunqsrzbpNoM/bAwMbdIxnXzkevTjUlGCTCPz/DdCMNnbjibM3dZvio
6wVZi+Wixu+mFmEQhHV6SDtDke0pMeA6BmYlAe6SJsfsIPFaJMNYAufRBsWgQKrGHW0ATzDmL4ox
xRU36cSZ1refmzBT1ORHbklzOxVa9cmYlaY82YNrDXsbLc1TOQHF7BCDW4eMe/pXy5YVKzzxkhqY
HBhtH3u5uCtHWdK9iC3jwWxwJQ4asbj7RbeiF0IKkvfjBDauKXZ0l0iz/XJjw1+bdmfVErpX5DMQ
nujGrz5l51tf0upkQupleRwsrn1YvCmbOls7CDHWTHapxHet4n5VYNjep3lkbdLY0neGtOrt2z/k
6tIM22oFp7g3s4eAU53/Ds2W0lPHvjlait2FRe7kvpytD1zVmB9ZuXEwGffbpkQUYX1/+9HXaVzr
s7H6JvmKe7t7yZmxZGr29aw2cP/dHlJgpG8HbkmHeHWooFEoibdNer9Etrs18soJYe17pNoWxjay
JrwfsJa+MRzXRxIMjJU6tCKKGHj/+vPfjj4iDFVvqZX2KI1UvY9celb4CsgjKpLlHfdg9QM6hS+a
VdUfq1RJtxnDt+/ixviCV/0tvvvV1YQfgxskNyB6NdB9Lu7ECVVq1RZKd2wxef2SZ003h7aYseZa
ClOhF9HnbeCZ6eju8rIpboUpXVdXBCmB+SD0gzFCh+uipK8zCIhmQwe4odG11dJxQa0i0y1BbvRN
l9RSwkRJTYLuiR/Gx6s+ta43Ps4k6Dx4WZZugag8dueRTFdtQE+VSQfSkBq70XtEWHGIzZhDK7Zz
fM/J5WYshXejyHCu1pnNj4eyTJt4deK5GMLZRRILIaE8mulQ7YZe6XdQJo1gccV8T7bWfGeW8o/t
L9d8Acizq40nsXaXNBtuCZ4pkqzipp7GextFa1CURb5XFl27AcO+8n50XNb0CYRluIeuf/7bfE2w
oB75ftWxUps2lLTjDr2Borm0GjXEatGhCm+dzdsr99WHwrkBRlrVGJcOKare0BWnqDlmjibDsrKV
E1j2cBzwtt+wBUfQYVvtxl32lxfw+Za58guRXVAps0gvPaMzeohzryc1RiIqbjDqiR2+v+vNQfNn
Azf2bh45/618CMEnsjuJ6w3LU5OBW4zq1hC5+oVqhYPQzpeNNncJjT1hBVNjplsUI3MYK3T88JPz
/FJ26W4E1n8kpzdU1Co0Ru1LP0eNP0TxLReg62XO2xAzikc1ykDyIs6/IQZqhMnh/nucaQf6Ubf0
h07thk0me2u35HTajF7JNiwt+8a94wqFoDuCFywjul7bkSydPznP6GjzgIG0V/VranTKVszNHyoG
6NGtRPM1uGh1zcfH5/whdjnpY2dM41GlyRfE0eK+r2nE7Uox/+VocS58qheXA3r5/PY0/dUSOJ8x
iCpYftxj4PjS1Tl/cimQ0GGnOh1nfAO+zKNsWz8erIWQdHZWvA64laq0BoJJr5w9QMz3xXKTYxcl
2h6i9oB6ysru+tGCXbg4yhF9g3FnV2mzy6pW8bVJcSAFaLfiYK+/ytosom0E7wsI7BKRwrogqbjw
8rMbkR2NOYkhgas3Zcfrxz0fnVWECmuVL2MgU7v4LnmTIZ8kdv1oSod7biuazTB0/UM6rVYHC4w9
J+n7+3YS8WZIEMDAM2jvFsWpdwpZp5umis3AMuR81wi3vjEz14df/DgAD/Zt+lkgWO7Fp0uiMSOi
vteP4PjFqXDjIWiduHnKqm4MIbf8qQiHWYqoHN453FowaDSb53NFsURqI84zjktBqFWTLuour+0o
lDV3Gy+rInjauXGXRaLezoNqbfsuzfdenORhOWfKfqri+b4HLv8xJ1F3pD796+3Z/MrnokQCWIGB
iOHx5Vq1JDaUqezMoyNbPVgw9dsKOFcPXa4q27cfdTX4qxyTxh4ui7hTQQU7Hws98ZR8GCzrSP7r
c7VysLIO1+NKOv6cNDfKwKv3+qX9pN7Csg8evnExDVPhNkqfMOZC4+DQ6FPcQdmv98aSxjf4lNcb
wq9nATlAuQfeuNTtWYPX9SSZWVCgxgGRc2TuhmY1OEsiY69T+/vYVHfb2BHjJ6fR53CG2+xPdAC2
k6VPWxUn0gM8pvyUOoP0TcqLQ6t78WM5QgcY1ETs7Ymgl7c/x9V+wK+Gvr+KgtbZeXnG18KMucvn
Dr4p5rzPY8vaEx1yKxnp6lC3aZdznK/lBJjMZdiojPtumtwCHQ10FJ8wYXI66m+Trt5ZnfdUeN6X
t9/qutTmgTwMSiOsWk6hC7CwUBo7SWAgHRNteOhTGab1TMgFUuzh5Kn9NjFbHOYo8avFe3DKUQSN
Y9zStrz+KygNOXaZgugxzud67I05Jr26c8RS1LrD7EZu62iyjhMqgoBIc8a68Ipj4QqoXoUz3FXY
s0OlqWc/cob+/duD8spigLWwmm5AxgW7v1wMmWJaHT4t62KQuKcIZU+cQQnJLftD5TWdDp11BM5H
e4C66nLD0ysZEzEOXp56RXdwdag+tTNPWBBF2o0J/Mp+wqNAZ7lMrJXAxX6S1iU8mZYxzqs+DsDR
3Cc1hhIHI3R5L53mlrfqa89j4+JKSvIHw2icf1ORdZ1dicQ9ZlOcPVXOGD+MnoxDIas4dO1I99/+
atd9PIw3WTT0LdfzgzP7/IF5VC85Pdv01DpTdJB6277URR+96yxLOVSMyV0Ju3MTYa5GJeFa2wR2
04OTZbeMOq+3CmpjhLPQ/2huwok//yGFVjbDKM30hB2fisJdyUPQtlvvez1LeQrNKx5COXdVoADN
wcYRVnrqpnbaYLO0BP1gajsui/LG0P5y5j4rBCiMuboZkO+Jv+HVzt/IiKsZu9EqOzWlhVlGTy2e
4sS/xfhxBOqUURzWsho3SqnUuyozPiCRc3ysG8TJbI0CK+ui/Jq6enqPBxnErQjKKPkA02EUvbpL
lq4PO1WrnkEjbhW+1zsq+9oqQmI9r4X2Ooy/3c36ArtsRZHZqWzRXPlLa9SB2sp4Y8TpshFt7lYw
J/tbRITXvg5wOqsaVQRr7mL2R5muqIPWZSeQX7iAup2E1dB0ft0k+ebtiX/rURfTjUQXhFbNmJ0i
0s78qHRzHzXbvEmjLt6//ajrNb0O5v97q4vBrKDBy4QEpJNq1R18cKk/Gk3fPhWgc/h1qbf056+t
JHrh0O2RI1KdXLxaCb00kQbPmwS2biIdmVRKJ8L/wVuZ7MQo9FhMl2azYCZeWnVqdgL7V+hkerup
c05aYt/3squDtx/26tcCUVplVRh0Xfacyfa00rY2stOYOEngFcO8iaI+ObjpeGtivPq1IHHga0RP
6yr+pZqqqWC7zEB7l4c8T0NjKg99rFkBJKFbIUKv7hHsOBzimCjhLXMBYvZIEFZuc3ZCH2ZtU711
AporJ3NU6F6AVjyOWmdumqXU9m07R58cPHjCyJzc+94Uxd6m4XPvFbO2S8qpvZtkJYO+MuVDqZbP
uOx0e8KLH3DKjW+5G722Q0B3WUeJ4+rKP71WrUwzipxJ3bagnRphkXY2RtsSAyDhxzrGlQMJyjdW
7SsfZ0UaKL5I9gTguyi8OtKVQPFYtQtmgZu5pfdeTbXYLDgx+jUNqd3b8+6VpYQkhwIPPQ5A5qXT
o40iYurJjDwl4+SFSWUm+4mm6423emV285SVTYPxD/jtRZFhzKrepZqWoWLCshI/hAVX+sjdFIvj
3FhI18AoeNuK2q8wuIUN7MWEiysT6W4+5yRYK8XnuU4UG91FLb7F9ux+aJpc2c+DV03YCFRSDTJl
hurnuPVIcUsX8e9SEqAaOLZsnjQnNwREn6R6n2JvfV8p1vJ3L0vvoUpdDxfOSnH+tmqjf6Rs15bt
25/mtUGDM4plFpUg19/1z387ohD7aNi0RAzauEQPRt0mgdXBEBxHpf/29qNem3WQFww63NwogTXO
H5VOCpRplUhPRMifMiPZu71qkhBtHUSm35oMrywstgMPRG319YLydf4wxMUFqH2Zn0gWqbaWlqoP
mpsrGwQ8w6FKRySCdXdjL39tmpPMBpDCHstqvnimzeTWYFfmp0aJ8jCOYNDHTmLeeMprX4xbyjqE
wNoozy7fbKyTrq/zU1IbODAqCmpriWPnLLLN2x/stfeB0PMLm8RD6/JCWFmeVMbBzE/Kko1hgUx7
OxfxdGMGvjYtHK7+DrdbnnXJ9MrLOu4My81PpdcWIW6vzn4cNNw9R8Lt8DnVb4zfq2/FSQdJZeWF
X6ptHQ7aWhdKfjIpjIJxaCmTQY79/8HY/faUi7lAyWDEPTqQ07xU1XZ0M7kxe7paf/6UFbRaU7aw
Ibr0DHEEr4gtXn7q8ESHpEan365ogr/9lOsvhBUkuxwVCnx6irDzGWfNcoF5QLy7ZqfGDuLE3303
J1vopFipci26Me1eeRwnBR5dAB2/vtD54/BpM7DtkPmx8+BA58qSb6R0VV9TZL6JKsg4b7/eKwiA
hxkKECgmlevedAG/u7WXqZG+5MchkhKyq7Ukj0Mi6yOGQtF9XFY/0Ac6Ya0lxR2kElqTiJt3iqqP
x9mAb/L2z/n10c4vPDhbmjhQoixlUVwqMCO7dgHC+Dm9PQE5Na0wwopApnRdEnbpL2ZViEDkqOU6
BYHDbmo9EjbccRKg0bVX/JBl78Gp66P0rsfhnfRustdEgFW1h6sy4athV3c6nIeePN4JzVgUuEZn
ygBdYoMq3J6+G6Ien1RDxqQATUZaM7kUu73DcnP54iZD+bmsFdpZS4+eyB5K6SPP0g4ZB4i97ZRp
EeGSZpUTxGgKNb/GGdj1m96QD7qeo9oxosUKvSRFiVcLR/85GyP9XPj1sMZb/FPqbYU3Pua2U9k8
23KEjW/VCNIwW6nhCOU6B+hWgdOBDgAqjbLL7VIkvlUO3k9uPU0KrV01vjWZ2qhbXZnp7pdRBRsl
H6Z2uDFhr3YUB+91Ltyg6JikA9WdT9ih8Mp0rsr0OEyd6c+OkoaZl98EqNeN/WxeODoUdhwUafNx
Fbq0KmnrbskMM52O0quLzSy19qhaJeWujBAwCRhORm4TilNawzHDK2qHa3XyZ1ZzMDXgd1LNc45z
q2U/OH/VGO8nNh069mtK3p1CPbFyl+gWiNE+WFb3x43UlY280pBx7OPSctmN7z1b0UbNk8dOj/Al
RrkYpEWko1WNbwGB11+R4nTtheADw/ZjXpyrVWXgMbXY8ljn+ktnZWYIYXK+sZX+qqfOPyJPgXC7
8urQ9V+2+jIsvFyxLPLYupF7WvIm6oN6YfvhfI0w+9Hh9g2+AST+obOQwUI+sDToL1qdvURmW2bh
SJH7A2wcIqjQ1elFKnP58e0t6JqYwbBb2MXQlMR0lQE5/8y1lraNY8/tsWiq6qEYh3EDUBi25Ys2
OvoWKV8UaHmPRTjcN7ErJzf/mcJe3GZUZGHVoL59+xddnQmUIdCzNTgI+LlcNZxnbukmRoPtMYr7
L0Nm9o9R3362Gtc4qGl8yzPnihOz3o8B9Fa5PUZElxqBcWnxh0yS7qhU0t6XRrocFrzk4QemFaLZ
pCqiNsAmPYsD05u6XSFdkr/efuNrSNHBDZiePtxwPHbBps+/QddLS1WgwB/N3HKGMCrN8ceIlunL
2IoqD53Bqz+gydC6bTvJ+YlrW/LoOR2diaSwPr/9Y64v2OuPWQE/Q8dw5sobDWFSneLeMB1btPYp
e3Gmo/mcywwlNMvm69oamoOFBq/hW83Q1L4XyfmTg1Q/bK2qW3yBVM54amu1+1irRqPhQJ5AU8B1
rXxRsfVbAEdbWw3qOs4+ow9PApOk3lueDetWfL78uK6RHIF/HWRhdELng1oa9qyNkz0cYxOLPaOI
/46TztkrQ6+HsczghKuLONkktN0gL1xPKei0HBIWeVAI2C5TuNjTiQ+IsvHo6CdXw7MA8zHjTsvg
2KUxepcaX8dN1WjLcXJvHE+/vHIuXnotrpEfqvST8Zg7f2kAYUWqOadCN/ZAwRYRfNt4hrszRVL9
ortJfGcPo7YzKBAwAEgJ5sImythPi7JooTt1ySGH2BHdVcKVJzmq7FDE1eTZHcDVeGPvuf5CaxY0
0hyaMRw0l9bSfa9hu1vN85F4DWUtmjO7JXdgoADUldEVIa1iTBwc7CuagBDeeLhRf1lXU8TCQARW
OR2RNZft4jT3EnccG61djiIbqlD09P88NZpDHE9vrKrXnsQxwC7LRW4VnJ5/F7FM/QS6ox5LAn/2
hLu2GxaG2BFLcctc8JXdhPBL8HNmP9sJhIzzZ60mGGU2N9rRya0I34OmCxxIutsBad69mXTWDh5X
unOy8ZRhoXNvYN/3MCpafGMyXq8DfgeGa6uYgQbsFeWvz6N56Tz16I0t/nySXDqCO4awrYae4h7a
smzS5sDdF/irGtQby/DVcTAQBOPqxMYOxeJ8HJxUcLNoLP2YEa38AVJ+c0/92frlolgqto5N3W0b
8LEuoAJWa74/9XNIgs/4lxgr7RZUfzXbgWK5+1KlwwJdLfbOf05vlrE7ROl8LLCwJyDbwGZhHH54
deZ9dIzZC60qMt+JEmLT2zv69UCs1uqommiPsc6uOuFLb001dPDpaJeauY/7QWxRlaiBZWVLqAyz
s3Uj0T52NdmXFNHj3dzN7qfRUdsbC/6q7mI3pEcBQ9vEYQu+y/kQoIrV4CL35lEBq8Seof+Sl0Vy
Y1FfVzSrKx3uZWvpyttednmFPacqFnsu8x9O4sbIwVeDxVzdI0YkAe+MZC6fayJQPrvmID1/KOjj
wYRvt9psNe+0fp48Wky1Gt8459cJd7Y5rz8M08/1N1ERXsIRlVsZCuCoe5xMFzheqNhXeLK9t+oU
bZgX9+Eff3iKJfgjq1BVtfj05+M9jn2XQN9xV0ffH5CMHt3RayqKUFbcSFcylIvVnlRirk9Nww0S
vUL0pGtO8+7tH3L93cllpgnN3WkFay8zpdSma9S4L73joJcZqmu7CaeS6IK3n3L94T2VkQW1QJIL
te6S5CRsXLlEYejHupvtjVXH5c5Cz/UO0VwZ5KttaKNopA+Zo8A6V2tavyty9WlACuZnQ+98wlbT
+eNvgGM0lxqooQiXmJcXOz/agSGKChy75wxMoxp1/SU3LHBKhmHnqi30/STtT2sSii8AypHhaH6H
UPHp7dG55sOs7RKurLDN1vruEpmfrWqIh8Q1jnkm7B9kyFSb2sPC1LCa8q4adG+npWa8q41U26jJ
DJJlDw2Fga1tXDP5O9bU9s6LGsLQiQk6xCmKjL50tM/EYsXh0tvexhGzemPmXFejuLJaBICA0FGh
X3HDlHEFj4r+/3B2Zr1xI+ma/isHdc8+3JeD0+eCzEWpTFmS7fJ2Q8iyzZ0MLsHt189DTc+Mk0oo
xw00GiiUXZEkY/ni/d7FOqqR6KVveL0X+mpWyOE+LKXzjffbPU1p4b1nQ0/7IMZ6Pn+5LSFuwEM0
DeZk6VIWdhQ9j82o/xynNv/R6c2cHLzEke+RZ+IvBE84kigp1AawUDM+v/3yL01Nmw4touflLoi0
73wluk1E0iOJm0d3tIetiLT4jrDD+aYgHpUsXTu6dVxsFCwcZ3GhIrHarQ1l5+CD5+M/238VCFPf
/kmX5gOk90UhTf1Fj391Ho3AiRFRRfZxGmNnX41G9KBPETJMncDixXAXmxW+iucLnZaZsMt5ywnm
bspUV75kTV/c1WLRrzXJdDTryjhh2JN8k14d3o1zC1ijON+a1LrmavyqkuLkpKqwqG64VIORnL9J
I80yOJNCOeqNku27Kc38thvSWyhG19DCV42FxZEPmgeKBY/Q9zUKQ0iC22hh6h1x8tbp+ZT6IW1a
O4iagWzMnmikJRHw2obxCvthVNoKwK+EhwBOrDZtr5BtVzq1d+Tj5yihccAmj7vYSOm4+7js3F3t
Di0BnlH1MHm9TuT0NbXG2hmOdB/ahUulisECpI81X0gSpyYmTCSOi5lWYIB83ndqMj+QcjYFkbpg
tYuFk42D1VaGQxVkEOj2U8N0tdNC2S5xOr7ajzmkuskhB9it7lu7aX1jcBSflrRKXnWa09MwjANx
HeE+hva5tYEK/TZ1ALrGpgwSNvogadV+swz5/e35/7oqWp4R3tDLUbx47Z1PJAxk2tK0Bu+IAar4
3M2jc2MkTUEuxwARa4zad3Y1fB9Ni7SuXje2qJryW1F22uHtH/LqcHz5HdD5FuNHDphVUVTUQxpp
vemRLxDqW6R+xtbLRuPfGWVxkuWMZKw1LYv8M15ka3nHAgTcH5TQ9FvPvlZxvKpweBYmDTmNL+LW
tVhgVPsuU0CqjyP5NwEXTXfT4QW30VtdoV0B4v72u7s0HtRO8j1g0Gk81/k3dMTooUOA/NUWqfY9
DlUjsEKNHZVoq3d6lLZXxnuN6fGAGBWwjUNPglu6QsuQvQFweCxO0mWiaZdHJUbdUqR/I51KxcbJ
w+6+MQf3c1uZwsOMrFHLjTomMNDzCblrMJYDlnK4skNHN9H7OISiacXT26/l0pQC3WTpLhUnh875
a5lEBXVKRt6xwf4iaIth3KqzvGZq/XJjOatneRlsVhilMgihoSuwIZ/EDJRv4oM8mSEhcmVqfkNV
2kI/ItVFouVUvdRPIlP7TgYS3mySgJJ5gy1hdMvBjvZCF9lwrZX52puFzZo7LjUv2DlaoNVZy22n
oo/OJBTonL4t7GakdnIs7zHrITkwNgfvZBD3gCFBqs/zRgqTVI1mHhV8AwyiTgtt7HTEAy7mm5Gh
XTl4L3wcix8IwxfYw+J2e/5xNKWiAStb7+hNhD6aBKlsI6/sroxyYWWwdVNwAgIhKltnaSmhMwi9
cVnvbl8SByi+VqGW+JpRfdWQHV8rvS8cWgzHgYWUi6Pr5Zv8xi2ABo8bAk4sR7fFAGnCpe8AhSG6
ibPim5aEd6Jrp23JwR30Bpwck8vG21P+0vMC6YOwALfDQlr+/W8/QGSIO3UrDfHkpjGTxa51SocE
dY/SoyUtymuaBXIi+C+uZv/LPQNaM4gtrsfnI0YjHoOgaPGpJUixRfnmmgKfiTCklZWVxmPcIDT3
oyrJcSPFy+qXYjhCP/BZ4s+2h68doZZa/nlSHZz7GuFYW9OrnmPDbiNu4SE0iaJRB50oOtTWfmnH
kWDKVCY0kUgqu9hyeFBFusOtxPWdaN6wH0XgZpbce16m7Z1CVT7OGK7hsdm0UROgHzOfvXaMywD1
nEaTbojG0XdGrzrVbaHfzaYzPiFHGXp/ssLuwEWL7lrRlzLdlGZekho+Nc73elbdv2Pu8YUv8Xb9
kE0hnn1z4oGU63B9AzDhZggaV9Q1f7vGcBVeqRUHmIWWNO7MvP/gxnLmzzUdtiFKZAaaM6d4aMkp
wjvCqeONkToRVzUMx/JgHrpG3Whhkk4BiZnKF0FrZQxaJU0eScrBEl160kuCuJ+s9w35qaTXxFF6
GNqxfI5QLZa+G5dfhqK6Ie19CCosJ796dTseQitzH6aqir45RQQvDJNQ8O0ZLwBLSZ6JyZp+OXUW
/VThgPd+FPMdt8QOh4+DMIj+VJGm1J4dSR8wjgNPw5N1wk7Hwbu0hKRRBgiutI9vz/QLdwk6xXSW
2OC5yL0ywaaYhzwkWNphmhGR27Wpr81mvGlKF/fPEv8EAw0Z70s7aqpANScTuc1cY36YwlJ5V1Td
NdfiS1su7Ap+CgxzizNntRayoTbdIe6UY2gV2Y55W8W+oQ0IZ4Z2fjQK0/5U2mR3eqE6fJUSVyns
3fJnYslpN+tRxIbUdq53k3VJcg0GvLAzgLohaoWiQaN9TWmoazHEWtNHJ5So9fui7nHZxU12vs9p
/EcYNngs0FijePDHAnX6Ju1tOwp0uq4dtrOW0QVlG5L11Gauvm05LaKAEGDbCxRNZtWVffvC9Qac
BEXAku61GE6f7yo2cvse6XF4tKVMP6HmN7eON1QbtbCi3dsT6cJBBKObI5x1zMa59n8aM9tuTDas
44CV6TaJSWU1zXa6MsprmymPCCHmBnUCzHmo6udP5Hk1va9WC49V3syP6qyXh9Lz9hi5V7tlb9np
Q4U1nSrLj5opUWRg43HlpS4n/vlWzZWRx8TlCu0HVcH5T8jpPmGwUkSnuVDsrVPomFQUrr3pR1YG
Mp/4oPZZfXRT9GY5+S83f/qisclBGQlrgCIVZ5/z4aksvLzqXezxud8HXtdElMb1NbLY69sq5MTF
QwsdMvX3GuzDEshueoLJTsxq7dCietrDOidclL4GhgvFdGiUrv1TSTIrCgsbxEo8IkkNq1qrn9Oo
hXoP/x634crunq1JaQPctA82COrGVa6oul4vZsajaYN/GpUGN43zV5m4OQs1zOIT5Z+y70qru41y
oj5oZpqfgB6uyeIvjcfi4I6xIJevPNKirFJmfOyjk9U5LabM45e01n6Ettr7yCH6K2XUCwa3mqgU
rGj+EH+BmK7LqNFBmCiaUDmiU3KOuDTUXzFjc9+XCbeunY3jE9lIEt9fX7WF1geJkRF0FHVusp86
NqPbNsRqMR7COAvKxGg/Y3hT+EPkFOjhw9EjzKfUCU/GCJMrfJP0WxKisPCUbfPQNGlM0pA7PrEr
j+8xxKv+DunEa5tuwPNl01edqwTNoETykHcyRhI31NT0HiTvK+/h9SYI2kcbk2MOPPdV58YushTn
yNo+OkY4HK2k/5FKy7lN9Pzp7ZX5gjyvXvjiQgjZhUmFeGi1NCePs7rHN+ZYZXCKnMlQvsVkBPsC
G6Q4z5VD1HigForeYiLYVu87s412XrHcYqY0OqCbz7d9k+GaAE0lqFmBe3TySaCV2jUA98JGSk9D
hSoGZoHc5xX3qFExSsIv8OhG6mkAkwiKzgWFy2VzKrRWBkkHUJjm4nYmjvTO1f40UxNYCBkZYdGc
bpAEcJo7X32uWWT2OAj3WAwa/tudraIDwcr5ykd5XVlzlaAiXIgp0KzWEB+BKH1fkwqNUr11T0n4
QcVBncxkLIjA/e/cAlqCqKW8By1tDtNozJu3f8Hrk5EfgCJv6VkgwlzDCjW2kbxr2wEancptVJbt
rTDcayfjxVEAXzl5kTyh9D1/m6Qa4tIzkqMkZAozaBrKIBVmeOXsu7CDAZMB+NA3QGRNHvfZxag1
YDtSWxHPlgzf8Mx7HAXRnSZL3jdqbJf+/M2xntgyORgABlaFYJyK1Jqj3j1i0+veyCo1tkKxrvoD
85tXqxb1Js3thWNB2pV+/kyi1wtcUmr3GCIaHyhyj96ofZwsDhwQmIWJbQUytoaHtx/uQuUNpLII
R5cHZI9ejevhIWFXiu4eYVfYnydlLj8ZKszzDR6W3aG0HBltjCYbvtBOwXmMO1Za7aqog2mvasq4
c+uxinwHluefhVe+LEx+lIbyDCwGKOb8hQyVS06jnN1jrCgacAIu/CiX3St1zIVtGcCdt76oSbjn
r6dSEzuySmz3aPZp7yto8vYY/EvfmYdr1/kLFRsIG7w0OhNLw3hZO79d50mYGAVXLI/UZvOOP+M8
FK7aHSv0uX4o6+rELqv7mNtOWwfjle2VD31pBwIs5dZmLiKGNYVH6tNg5bkAzkAVdpRaE+5rI8JZ
voI0W81ai1Oz+6OFl3XKbOyVYym6/du/4dK6xQ8VMOWlX7ymXyatVmnjOLhHmxSMrRNK5W6oimrb
q/QpR1m/f3u4S5uRC5OTziBHDND/+Qsf0IaFccjCnfthWDwcnaCdyRn581Hoh0IxdxZgao1C17ja
D1bDPMVncLhVSnSyKJOv1duXTkoYD1jyQGpEObGePRHuSZHAYvgoepZDF0UDRuCoGdQ+IafBMu7S
2rWD0VHLGz1Jits4GdN/4/OxRBbvAbJ8aMKfv0+h1x7IB1tFSiV7Y3T6c6/K+W5SMXWwY9PYvf1i
1xnoyw4A4AmB9qXfT8Lh+Xixq1ginFW6GbVb/aoqEX/lZ+UP0usMzZ9nAGciWx1ZvGuaSsP5UjGw
+9brelbAqJT0QVeF8WnSeult5jga8dnJsvyjZ6X5p8i0pi8CEcwXiNXTg2l30VdPOtY3hPzGI+4o
n2kK6LsiTOOersIg9qGiO1AokXUQmkH/9l71SvBWUY5ZEcgsn50ti0j7kkIdHOi9m/r9qFZAZGRb
g5YlBeixlhXmtW3ywrp2F/6Vh8UqOOV6ljsRSjEZLndRSzadX7WT+mlIFWure32ALbpOZvsLBd7S
2vpDno8quTyNAdEdx7+82hdDoeqg/Iok66cs02zXqG5H2WyKob+z9W54VBtV/WTKyjU2Yk4hoTuB
bfSJ46Of1isMEXusJs14HO1NNGB2eeM2RCNtjcEs31d51t6Djc5fVDQ+N1pbCAziQLTELoN3S86L
tNXd1M36p74njLrryqaCrYMA3jdzJf/19qS6AOvAnGQX5MpFI45G+/mk0mOnzNKIDT/pXP3B0Hvt
TuqR5juIXHa2VnHUYsB3iHD+CjQrjrYiGVxCxYpoI7mE+E0VOQ8WNg9/vI3gm8ptc4nxBEpfd9OX
iKxZ0Ps5ulUy+16KtppGzLXK6TWZcvGfog8Lew2raO7V54+fZVYDYwANrdMV6qk2+uwmLi1Yrl1m
b4puNja2N2iPI7lGt1E7WXgcjPZtpEZ5ENqKeBdquFKlZSIeWsXTvrWaFd0oXZdeQbheH8tUQirk
ARzBELasDQkcp2jmcoxQVbXgjnZbJvuUIAF/FOU1EdJrjIGjlg0VbhUKBYQ0529EVcqoAJMuTqlp
xKh0yJ2EKiwPLvQBIOJO2w3NkF0pO14fTRC0USKoDK1CFl0dTVEUml478RnGfMQQmjYDBvXVNers
6/MWTzVaB7QGwahe8XTIxVOzqYrzk5Ulk6815n7KEcuMRbhT3PFadN2l0SBH4lYFJweGwepFDpT8
lafjLdNrmcTsFaM9vdTwP9TQwBRWs3t7Ja9DmjkecP0yqSWYzayZ9YfLRu6/dTIUJ7c1sMM2jNyp
6I0I8SC0bFT8ELnqQ23k9U1YpeicWPRo2cY2hRojRFoGUJhgHthD1dxldXvIh8oa/CFFqOLHea28
y1IbT+7Zqhtg8dR8amHbuttBJZR1a89NiAd4MzXv+hyBOHE8BMjSJEyH75VqoMAeUH0BjIU2YW/9
NNAmnWcFuKx6rCJd+ahOHfETuUfshz8TMfF5ojJqNu4g2ydT0IPxU006Hy2NI3eDOsfDZqa1p705
19qTNXvNUxfmHlZgliHuJsz0yy3F3dRsapKb1W2eSyv2s0rg+0uu8kRLNpLvZWNriB6GSW/8gpwh
OOT1OP+IWG+9P/ed+2ArjkPah173H6VJbjLnCYeEL9S5s+l2I6D8432PckbnIsflh+SJNQIwKrE+
m9IuTrQW40Az5n5TVMV8pfq9sMipI/B15wsBQhnLIfpb7a3B1RMSUtgpAub+GMVOFhR6Xh9lQgQt
gonk1JnJNRHvhUW+UCL536JEoWg7H1T3Rgr6WpYnNcKZCdk4wXSdOl+5nl7YKinpsb8jOMfxuDec
jwLdi/yzqi9PE25OO0zykm0pTUzpZfxv7CeLSHsR/2CdgsjmfChFsRMsg5ryRKzYvM9kfZPrcjiZ
9JP2AgXUlY926f1ZUBOwvqMpBK/rfLi49AolVozyVKWN3DW2G+5MXKGvTMBlWzq/eJPT8Nsoy9T5
bWrQSiEaohh5KDQ625BFeisHaHlt72h7II52i5l0vEtmJfo3vhwoM6gXNj/cCtd3z6SEB0QyHu4J
3ft2SuXW66IYweLVXMwLWzO3e/TkXHDBtNei64z4jymGXHUaC+kFJObkiPfVJCB4OISZY13TiV2a
k7+PtzreGpwz6lYynjDs5OOQEH9BtuN8GrKs+/OTFOQOTBUgiMN0Xc9FRqzCgM2qk6Gk5CRhgx3Y
SuJeufpcmooMAPV4sZKl6bGaJH2f2hCmqlOe2yFUMMfcNl0Z/vmEYBbwGHwh2mVrggO4UJzUpVae
Crq2fm4ow03hNu9rUkj/vL5atHGwtjWoRjRwzp8njN3OtVq1PPV2/kNLHf2Gu9LgO0ZmXVnEF6be
2UirPSPWgBs7SUjnFOXVu6hvFYKWHLJzI4Og9Uy6t2+XBRcuyuxxKpdU2EzA2utuI56AVUOCLqHD
MnF3TLvpxGW5CUoH+yKqX7kjt8R6qBwCfAvL+SbSbH5++zdceOYXaT5kGFiPGJSdv11aLgnUZ1uc
yL7s91jkL2mls7Eb06LZixqT1LfHu7CFge3il7ScoUzR1RYG+OalXh3Xp8VaIRirUbtXpBr6BfUL
/IZMC/QisU65i+f42yNfgA9h96FqpHdPq0FfP2pV1U7k9l19MnMjvg9xQD6OEynnGdHCQUa/fqeT
ZuLbFogiAdTW98KI5lMqICZnTl0cTCdLgrd/02uczXQ9vH2XC86Cpurnbz+vQI6byS7ZbcYH4g2O
dqM+ZaI6plp6m1aI16Jp+lCo7qe3x72wR9BLYO6BBi0CodWacltlGtOwrU6gmsXnepLJAw7f5ZX1
9NLzPD+vqJegB1LF0CB7fd7b85DH7BOnukoMd9sbklLQBdvz9XKmyS/Q149brZnGIkiVqk4AFxOZ
+4POfBRC/Z5qtfM9Nuj6+FA+YvNOWl4++J2JkikgebVzNmPE1TfA6U3pNkNu6cmmReEDwKEY2wbK
1Ffkf1kwQMzIdxiSgQvHUWOrt2FsZM8hGpV3mZ5BJum7IvKhCGWGP4fYevmxZRSf7cKOH4ng7T/h
KVU/h2qTmQQvKPVxnrXizpFj/RhawtkRNiHvBmCg2wzh+MAs1qynDGIWmTwynBu/aeGRZ1rR/lKt
EU7OBML67NVkffi1YQ95wG2/QgBUprMWkK3LfXpgYXyD6VPYvupO0U+nH/GMrxzyNzYRk7ECgcAv
FjbWu96Lysrva0X9KDs1xsrYVN7zNswkMNo0+eURNUqkaZjqX3I9JmmqQjLwrJPR8pXav/gJfcr+
+qdzjI8PKRRv94Xhvm4jxfncdEvM9CkmF3Db9WG3xTddu7KqXx/f56OsVpCSdAPMmLw6TTnyA0fa
XcBtItuR3FJd2bpeLxqGwr5x4dii5/JWi6YeR7wOEfCcRBgpqDUMIxDY1l55oAscV+wEuScu5EkU
8msneGnKOLHjosYnKP8K07K+M4sZs9O8dj+ExL5ypPfpPhqN/mZuGm1jqSlJ3kpZ7cknbPZGXNsH
neTuTdF76ZX+/+v9Cloo5QvHJFgHJcz5fjXSMAstQthPYVZrUMxGiPDjUKFXUBp5IBMjvW1VQ3wu
BqskpUS2V6K8Xp8ejA8oBN+Vdgu7+Pn4rZsnfQe6cjLjzv1R5tp3e0jnd3Nj6TiWakjnVByvLNp4
V77Ka6sQxgOeWOy7qfLZ085Hdrw4M5SuIex+qK2GzYFAXczPMcGAFIIZw+iKeNoRidJ8sSH85htV
1qW9J0kuuo0bJyr8sgci9InhUcGi0RbgpahUH63QTT6TNWl9sSRyc1+3R/Ye4fTdgeTu1EMzZ8/j
Zpyb+GuOvhu+c00lgr2/1I0NLdx+b+ddDGIQ7ka1KD/L1B3vuqgrideNJvM04yKjbmyTnCOfNCvL
3cUzOjxyWoSZ3c5aU35VRdPccGpmXNmTpNYDesz2e6hQ2RBYxiyOVkcCpW+6iWXuyRkn9bPigJKb
oRTEt0RCcybfkolebZrQbpF8k1aO4Q+B5rGPkd9QbkdJS34D52/8pQtjvAfIFqbfNwuPSzoZ+ddv
bz42n2N18rxosJfIVC7R6ziHbLGd9qyZiZIkYqvXnrLNPLQqENGGjcOjXRnv9aV9kbgv5ADgnYVs
dD49qjhu7U6Y9QnIfTzmbV/dNK3R01ZezK0dPd3LpPE2bz/khfoRryCL/tgi0YKPs7yF3+6DTqTH
kALG+rSUbO/tjFZDOcn+0bU5DIBuxM2oESxJGNGA+ZnQe8Baa7pSxV7YFnluLoWAwosGYLUnJLXb
2QLLBoSMcxtorM/AicNrtO3Lz+og0IB1BI9sDTqT887ZywXqNNJsfW+ZvUtdPvQHrvbDho05Q1IZ
zXfWOI7brMzcvTnJ92+/7wtnzYL+OJTJL9DhavcxhjnTkoSfYOWj7vdqLlmG7g+zGK4xIC5w+8GA
lomLOB7gdd3qLr16DCuifk5TLCqyZyFI3XfgNqpPf6OZg7aH7rnNRKJmmxAAPZhTtd4nYd7/UPQc
NcBYTPEVstnFx4exyPnHDyL1+Hy2gfmmqaor9WlWh3A7R9ZnQpWid5o3W1fK4ouPT+fZ4UtTGdMs
Oh/KQyAPlVU0px7ib7IXBYkvqPPM7B0ObC1hqpox+HmbtASGCQkBuI3TR2HDOdg6/Hh3q1B0XyOj
vUyx9abCUltWGqJe0KXzX5Vps43WzeFX6X35bXEvaLaZY0Vf9EbL79y8UB9Sq88q30hU2DEpG76v
RJWW+UKpx3qLz7+8s1BF7vtZDvDxlfJbLqcccRfBA3AwQ3QqHUD0v7E54YpLEaYSdUAS9/nvbnSt
ivs2b07425i7RNruRqm0Ejdhoe3iNiIcbE6aw9uL5UL7ZrGXAMlETkcXx1pNly6pRFV5Y3MK+3y4
I7HH/Noaaf15kU0ETR3SmrS9aW/Xi0tC1/NZVTy+mM0jNsE2qfGjnYqD49bTpgC6I3BSV04Y5BhX
9q8LSjQuKMgLoVYt/hBrXkWz8AukZTUnL4mzW9ESUq9aSnTTF073d4TFCu7s5odWEEgRtqntT7En
d+WAxdXbb+zCmYXXEyySZZODkrSqL208vtCotvVieA+J00i+e3GZkceVJYD19pVS6tJowEOLnRZW
WhSa55PCCqOBY54TslKM+jHOaknKBEnmgOhDIM1R3rz9dBeOieVkhHiwuIYi+zsfT6SFMekDm2c2
1Eh/SDfzx7I3t2+PcqFAxamRgxjyGNXzWiBW5Ik2wHHgHKZM+tCS8bZFS2i9S7J5vEWRgbZ6LvrA
VPt5I9ThmqPJhfr0bPjVDjFD9PIINK5PXaXltGPiRwLdPsyInxAb3UHX/VV71uOfPzKX7KVTgLcF
1t3nL1YmJS/UceqTV8BWr8BPb6VeW6cwbvL9HHad33LhvBntud95saX9ORIIws5xACkSOQTS4PPx
NSNMSvKCsavxKhGEoqOdVS+tigkdyduPeun1cgIvnUJ2XxCk86GUZFKacCyak+Yp801XYbvnu+ow
nbwwSw6FmIgITPVuW6jhNc7bhQKP5i6CVRBPIJv1rcwJLSdMx7g9lZMT3cis1XaROXQ7qZvyZPZt
fWMPxTXO6eVBafaCiGNEuibaDUUWeWYeNqeSPuihqeceJV1oHqQimk1SUn/k1dUm8wVSLg139t5F
4IJUda0YIHwwhRxctadGb7kMuIXR3WOYJg4e8c2keVlk8ozpeINdYnkzqMP3HGLUHgLDR8vOy03a
KuZt1JfW7eDa2cmIDWUD4pB+cK1yulIoXChJYIgt8beLOQHV5/mESCPEm+Bc7akv7c+AdOOGIskN
CIGsrmyXFzYWE7NjKA90YOA8rlZ22M95Mwxae6J1qj02sUj8xFCjb2TniNsy1tKHKe9zmqTxcBt1
VbR/e+ZfmAl04eGAYGHNQlvbxJl1T81lVt1JxnCDorCfdr3IhK9WQgEutjE01/HbeHvQC4gpqBaU
hgWexLR4/dC6NxRs0bxeG0kZoZhaTs5BY5N4RnwV8WFp0Db5vMmzpLuFAsFB3eXTRs9RlXSFxEcK
y9l/5ab/5/P4X9HP6uF/11vt//w3//xcCSIio7hb/eP/3Iuf5Yeu+fmzu3sS/7381f/7R8//4v/c
Jc9N1Va/uvWfOvtL/Pf/Nf7mqXs6+4dt2SXd9Ch/NtP7n63Mu5cB+KXLn/z//Zf/8fPlv/JxEj//
+dfTjyIpN1jfNMlz99e//tXhxz//IrcDUQWl7n/+Psa//sC7p4K/+6GSXfwfH2T+NPxsk4t/+edT
2/3zL5C3f9BRQPRDC5Sab2Ft8FeWf6M5/8AUip4oo2GGtgjvEdt38T//Uvg7ENvBnLjJUed7C0+h
XYbk3zn/gIqEVyqAFGaUTAntr//zM88+2v/7iP9RyuKhYvNv//nXeuFCagIVXLRqNv+PWPp84dK/
tEkslf0BgwKQhVB3b92Q8BWlD68JkteFDkPZJtdTh24YN6k1Domnrp3RQZxgqkNxI+IKV1lZ2V8k
3q9Hwpf7K+fxutBhPI6IJVgamMxATHb+aJHRYGahyBlWWjJsYd4pG8cszCs736VR6CDaHAxYBQJL
nY8CvctGlKLMB8jYyrMgLvmLbhINcaUmXe87PAw8Ti48NAv4WOs8dGssE/RhlnoIB1DotPPqg8xH
DCiKMpvx00uJlBuSaP7526z+13R5c3osD8bFF184/CEwez1/ukhUQoTTYB4KBTuByomfkf3bgUmG
8JUHfPUeIVOB5wIpAiqyHFYniDJgx69qvXoYS3V+MOcku80Q6V65Y7ya7nDWsYGyaP/iCfCKuZ45
YRLHk6IfCOswd6KtzYM3uyU2HvM1/7kLDwTTiEKMyx7kfGf1QJrTlzDSMLCAZYwMtneXVPHsmkvo
6wfibg7OtfBd6SCvL3e53fcEDdj2oTOKdtNL9ynO7bs5Nf/U8Ze+JH49UA+wjGYrW0tbPaOfjcpJ
nUMba786K0puzGy81hp8ZcbzMgrPscAt+Jat6bvchUSeidbBgqulMz8t/VZjsG6Jmo5vSlKijoZQ
ymMdWt0HUsqzjR039Y2jVMm2MRt7pwO9nmBZzci4Eusd1vuAoKh9d6nbyC1maM6mr41rl53Xn5qp
y5xaHFQNGojLR/oN/kO6rWVN0xvEaFB/og54r0pxDfl+PQj+gViKcKFa6NTGskP8NghRXYU5iS48
lMLGBnIcQ27iqrxSalwYZUlfNPChBGZ/teDhrMeFZUzhwZysctNbVRlAa73GYsF3kF/7O4SDzyzX
QhQNC/8d0HK5Yfz2NKreipraLURCNzreBozGIaik1+LvqRi7T1E9mj9KsyLmbwgnzdy2Cy9hH+Xh
WMJcbyaQt6jWbvoIipNvgn4neLOGHYmJkTd5QWZ1kQgyBD+keBfdYkHS12G9qVrCFHdxjQHoXWIW
xc8kde1PNoWzGqiiMq2DPYTjCdVOWm6JW8q/OZMXmniTcdb4Y5K79hadrPxY1CQ7+LqZ5T+zWa0h
klvq9LMaWt30owX52+JsIqyd5eS9wJ4AMNWvrGKoDppeZaHfGX1d3BhDFx3nFC+UfaMn4+c8touv
mZPNYuO1RnyTjJKc+7momq9q11ip3wl8a3zRaFPpZy2f3x9N0f4A7WruxjKKceedMEv23dxOu0eO
k7jbCrPoQ9/uUuVOheUw7WWuj/ONnUblbQepNPNz3GjvDX2gVaHJuiXlDVfdCOkMyks6SsrwKRka
OvKa3U/jY9hFVrPFZjH8OeeVeXAb0iOhNYZDHRCAU76L0pLQG6XSk3mrT8JD/hpjlYtnUtN8aDF6
roJEWOPku0iMvs2lA2V4IHf5BrGLGwdWWzTkIiNWdzahMcc3qpGN0cbjQYXf2nH8d1jU7S/sBoTg
5PPSRwrmUd9U9ELQqzdd9HeqyI7M5dDqnzxmDgEsOEelm7zFZTGDmHCnDGXyFZIiviyZ077EIoZ/
K3PjTYh2W0UcMN/ud5qWaAiV65H/WKm2sg/qWROIXmAa3xf6LKL7NsEfki666fwszdgCOytDu4Bh
GYNppIpwkr2tIy71HcVQHkTb6o+J0dsfTbWuntTK6O/brghPpucqT4KcHou4eWe853IDOdNLlPDZ
TaLO2Llkz4eBkCrUZtK+ZBng78aVU7FdJb3VlJgG9JgL92locaq+6bEe0xB3h2kXZElNP2DCW74O
nMbQ38c1ANBGq7Pu+zDhLO0rWTZZ28qp8KaJsWgrfMsjpGcH9YSB9D7OP9JWz6JNq+GRfzMp2Tjv
TAUUZMcUGT8ZEVXYph0io95GqqF87Ka+Ln2nEOJeYpURB+6YeJ/h8egmEzRT0My6lXwoMbv6Hrc9
dFZNmqm5w/xZs78NOkm1IOt8Ml+3Gue97M2xv80z/PcCHcUCNr6tZX8WrMS/Bb9RQa0uRrwMZRoX
mzJpITB0GWyaIAeLqP045Y4UqHop/s6iFjuD2jLSOAgbW/kRdjqSUWMOrWdvMuTHIVpEF1AVepUf
aYSkiVlJ80wgYd1tJ72QCkTffJh9nXyIcNu6cVdw59NYHoOo6THVMvmM8LsDmdcH29qMqBsc4Gcv
c3dZ1Xu/sLSTadA42migP2zjz9gwqhHu/bYREOrkPXZWj9t1nKcu3gxqne9aWDyfWps4MF+rEzlt
iDggnDRMzckMqOBwLCiUwhyB01Q39vvRs4YdrVgz9XsFj+ddSgvDZI1BSMQZg/X5d2bRiLyh9ZEl
+xpL2CoASQjfSVGbH6KyKT6Iaap/OIbi5IE2YNvLaKn7U5owITKR9c+um5GyEClmWATEw9MFGOb0
TliKW6Co9iqVzj9NYmxV/hd7Z9Ict7Ht+a/S0Xs4MA9boIpkcRI1UvIGIYpWYk4k5sSn7x/Kdl+z
xKsK3fcWryPaGy8UJAggkXnO+U9aHiZmZvKywlm1TKrAFN1uhOJlxXyyefcQlQQ0JFLMtpGk6F1n
hMaerZC1mV59MEy8nB9Ma4yyGFW9XTCUXtIq1g1tyy2TjuKdMblzcKc9f2iSDCRDJ7XKzfvAMrzy
sjYbRcWcNoo3LooVt6W8xvtLymBsQTDa/C5M16WP8VIE92VWLr62ow536ZqxBiKis0WcrlG2m53V
iGI/c8KrDoJHFs/MzN/2niJH++dl9w+nMHx4NLcbyZMeBU7ay9ORDDYYwtDFDqtRBHdiDerrYXXn
M8Xwa1dB1cICgXKGLcRJg+R1bO+lHIODM4QNSzRqmt9N3trVL98MjWqw2T3y8hirv7yZvGOl4DwR
HhASCAI4qjqu09L41f6B6ohWlmEZ3AAGoSfT16KJBlxpyvRg5ZiJlbWK9iOd9a92e1yFvC0kJmgy
uc7Ji5GNlZVjm4fYF+ns2avX8I1ZivLMjOuVF8NVqCltLL1pyk9aB9RQeK5gyXMgX3m4CzimdqKx
0zOv/4fWgXvxLShvNCiQKk5N6sRSDIHM+/BgSpyOLFNZd21eOQi0SvvMYzuqNF+UezSvvB2iydFQ
bSy7l2vAb4rWELUbUf3crqK/zXQWDyog+F1jnRBan6rgW2qD9zSEqxQSx/MwmVySbxGBxb1+nwX9
ztCfdPjB1H1SZ3eDoS5qv/6QGY+pKq7whql3yll+74znn6/eHwpVqmBIivB7tvgP2DYv/3IsaslZ
6VhX0dwsyWxgdDkFBHk540eImvpM+f3DO0GWQoOPW7jHh4Ly9+XVqhZzctzh0kOq1FfLrOaLBhLl
BmCcmyn+sMa4Ek0EI4uI4gKs7+WVfJz5NdLxdPsq+91WCntYbp95769chD5uaxzZrOgnTrCtwJe5
3eWGcdAiX5KVqiRuwfH+g6sclxa6CZK7TjujsQCbDCotrkWzVE/FqCX9YmXvf74QXrsXfGsc9BKo
M9AIv3xgRWb4o+wDcW2WFYu2kWl0gGyifvWr3ABQOjz8eTb/k9PLCN2NfYlkBlVw5r71VoxBEREv
1+GUn4sFe2WxYa/EOIltJkBkfrLYik0q31DAXFejOSdmNLQXfTQU9wR0tmfW9fHEerEBcFssNBpk
cE6oIyfLDe0oumqrra7nQrrTbqSax22qQc6Q0NIND71phLfaXjE4K0xfYhg31G54F4ipfj8pNXyl
6ajULnKaaroI83JQF16/qCG2rIJEjqUaHCP2Mt0Gn9PAr8lPmMjC27nBOAf7IZyy76nbUvnxTzQe
/tpUdkzfbjiXk4iinTOX07nk9VOkImSRkFF27NY3HcDJnmfZK1UguTLXS25Vl+XmZbr4OMklodkG
b6M+XO/mfm7NfTkzv83Au8+QBH9csbjxbZH2nCWEf5xSvH3oil1Xiuq6C3t53ci6fPCi3Dxz8P64
QW7vlXOdvZHt/RQLhN8ZFYF0q2tsLom5WhBU05pOJokLlQNI352FAF+7LxJZnG3JQoI5nVm7uOgW
WZDV12JcSTsdxZTvc4rhX9+9Np96dBWUFJiwuCdffFfk9uDkQXPt9Zl7HZQUSkumzsRLbRXDyw8D
gQhEJpwk8I7yTrMAugi6pEQnfW3Sqxexa5XGpxqp/r7yx+VTOdrjWwnL5ePq2mTy/nxL+4EaAopF
lcFCxcYCNs6ppLQMVhjnQ9Feh1K79zMAxIypuFRREgQrWu3FmoenNu8ot2XvieXCnXXLFIL5tpO4
4N0XYzaK9/YaWldZtiD9a5qF9jckQPiddnh6v7zVb9xPTA0YQzKFNE9eSWCkfUhGY3QIep9+b62M
2zmk4fz5c3llgXE4Yma5ATM/wtuLzFWd+l56UKK07rq0GWJGYvWZN396FT4WKIMQeAkX2piRJ9vv
Es5k+Na1vB5qaSSDPS/YRmpxppbcnsg/19f2SUJdYw1zN5t4+OWxVZNwwRx9ldeVttovq1M1TQJS
NO0Xb5l2uuqsRBf5L3PO2eUp8zbUkgYJY5+XVwW+SxtYIQ0s5KLYeSTf7nBOl2ee4I/CfMpwD2Yp
JRPFDMqGl5cpA8mjZcJwzX5ehHHYd/orQYCqi6FEzcWlmbYThLDQMN6aStVjUoyFcUs2nsmgsHCr
T7ZluBe1bKZ37kzY1pnv6/TbBqPGqX8jojBTotM6OfSGkJ3dT1V/rTmEyz3f/3wzzb3Od7nXmStT
h9ovk1wp/z0Eo/Gc9+3p+c7loSNyCB1pC3BDXz4dQZ8CfWgdr6GbGQnxsBguOxRHpbOec2s/PQSO
l6Iq2ma6LLjTuhXTTx0GjT9eV55FMiKzT3WlMNR/lG3UwgqMyvHi59/oK882gjBFG4ZqnKn7ybOt
DQLIVkFYdGa6Mkwoj9aFiU62frQMoZ7LwuuIbBJuH/FpbYOtn1/+lWfL4cqGjWMkKOOpcEdnhW9n
fTBdE9nkRjEQYLo3h8HBocIv9J8H+f+H2v83dQmNAaXJpmUAJTiylv497H6/4eP/6+Zrlddfm+Fr
8wJ4f+1X/QXCA7VvIu6tPjmqJVhMf4Pw7m+8Qj5SbJuhq23b418gvPsb6gJQBcBPn1kLx83/xeCt
3wDvQej5z9kMQah2fwGCf3kOsC3jiMzvYCdDecY+cXKmGaPUwnQzdZihayPOdyYhksbU0y+dnX9d
BxI+5yaQC63fy+2gJITCkp5SB0djYGhlmbvP6uWcNcYJi/Ovy2xOp0CsbAWnt9PKdV2ygstMTdu8
c9dI7IwZ8fxlkYqpw8DV1t8FRd1DtJbT3ixJJLrwumq8FCbWq2c+01ef7T/+mG0X+QfMJPo8IsbN
bw+tYRvvK0TbHwaJI8vPN4PXroKMgRvmpkGvT99goFrZ17U6eC7eRpkMo4ciS9tzdpDnLnNyM3Kw
zGLxGnVoAm+6aIY6usqIwvz685t5uZX/+f44tRBQQHPaWLAvH5k9kzfMVEYdcDG69Yf5fcMlE28c
V5xUwnNI4Mt99M+rEX3MyUFGIcTok6uFIHprMdTDYateFqwsiraKS88m/TbMLeeMhPllS/bn1fCi
xP1vO6qgnp/cm+wHJ5DlcLCavi13DTHwxaU05KLfVitjt6SvHNnu4X+Ldl85EFOThWCw7sx6eVmT
Hf8MDq5NP0X9zWjk5KZpgEtXM5M/9AP2PQmUMkLuA3T2Y9INqeM9kW+aClKqcBt5+PnbfeXSLFHm
JFsMz2ZV+/IJSLw8Vm8M1KEiFo4H7aeXAVAyxGblmklqqeKGAw2g7eeXfWXpspUe+TE4djBBfXnZ
dQFVmnnEh4pEQzseCGC+qbPVfvfzy5yIU45PFpkCRKMt6Bz61MmXGI0NMXJ51h28tE/H2F/cCWf3
unX03lWefhNO2KnHedcUCHoF201e4+QTt6IezqXmvHrLMHWYFGGdBzH35S2XwmvcKff5WpkXxgvi
K0hVy68hBccb3tINGBMjUyRL/mRT73RrjwahSgfHxqnBCMYrz1rTyzOP9cd7IUti2+H4dJD+n+4J
JfTtFL8ZdVi8obwJ2v5pVAqDMhHWN8HkQBLAi0sGFyAkw74RCMlim4PgxlZTf0XYRbFlpgb+bZ5h
pHZmaf24oiNOmc2RFUkQHJiT54x9UI91/toeinbu37Vt1WBQbEF6jh3spndggpUbe5jWnnMpflmB
bo8+2iRIG5cIehQn6ssX7Pm1GczIBA6udG1g4mLtrlsa6qu2Hupu31azPrjBNOwG0x6efv5GXrvp
zcOI0T0EB/aSl9fGwTonQ9ruDog0gg/BsPgl/HptEdrhpl2QNFaV2+SMkP995hP7cQuFGsmwgnMO
fIL5yMsr+4wrQqE4UTXZRPdtNI7W275rdE+qek7JbYDmpTHe//prqoY237MOou7x57f/ynqk7IJd
ta38TQT18o/ga/MXYGN5EENa36RGXce+1Q77/+AqG72dyhGOpHlyFaepO1/PUDZGtZSXhq3Uwzyo
X8vuOS4jeDAoxjZFHZvXyTJi8rRJ4it5oBSSN37dRN/rXE7Iic2mTkyrbpP/4LY2wQksO0w14Y++
qIlCt9Id8XvyQIJ5mWTdmF9mOZDsz6/y48G+mZKwIUFjhah66pFcTwzUANHlQfp6A3f9MbZToGtH
psZ/ckNb8Q5dif3pKGL7R5HXmajQCg7ugzl740U4zs3BqaAD/Ac3BNHzGKYDmHnynjizMyswfHlI
Cyo9kXfrbnKn+d3c5f2Z3vbHEoxnx/vBgjSyaEJO3pAqvKB3Qxaenc3rDFra2bDMF39MSOYMbq20
tX9JUvjXIsTQmlkRknKu+XJN2MRrY8TmyQM2f8HvHtSSWJpB/q5Ge3xmYbz27bJp8gAhR3I2nnxV
EDBCDQuYhWFb0z7IMIDM/Onc6OW15QdRHpUTxR4u+ScFR4+6zFlcgVbC9caPm7PKOwb9/bVQpvfu
1xfGNmRnBoJ59Q+C2MkYfNVVXCqjz4QtV457jSP/To9NdvVfutQpyE2TuKreN+UBGYeSuxE9+EcI
HrJMWgrOp59f7LUXtRHXiRdATn1sjf/ZO6ETX63FEvLg185yUWaef0lOxrmJ7mtrHWOMjam92ZOc
qpal8u1AqQJeXAPV+NZxy8ZN0kgTlNa0ebuibQ8R7f/81l5bHZGHgQTnJyK/U1Phwpw3xsPKGtRj
u3NFlF0VtoK2ZZfVmW/5tae4DdnB2bZRQXSy3Cdbqq4g3vvAs1t30qnXuGsHdeajeqUe2ByaN74x
kgKI2i+/30EitFGd4vsdSBRLig4mVh+4613j1ulV2nm6ucFE1RJnrssHxW/+13z5uHNssZAEbiAF
I1vm5EPzYT+6K93dlc60LWip2uozry98VPO0fA2dfvL2zqxDFzlKIAxGgW2a7lVTqG/4Ejhdopug
QJ5rFBgpBlaaBcnoLLURQyV8K2urfGf0c6UuQ4KerHjEp7BIVO07f0xN1tt8bkTJ83NjriCRNkaD
VGTK7GsX89UAQ8ncsXZNryy966JO/oHnOznXAnvNu9YKexXb7KjPedD5kulx3z4RzFNmRxdVfeHr
WjW7IEdfE+MvAwu2xKxe7YmGqvtYLrM2kooq6DnHsLaKB+3M30mXdasYabgz7AdzYMSuSgNHJd+Z
7C+5WrKbrlX1Y+121pugswlbKPB9kbFLeuUBh/pEB10tExRGy/dIML/dzZHb30x4udN/T2yZLNcc
KpTv92TQinDN8zjLLPHUMnSR2/SI6ffCIKLcr23Xk5hVhfNmXtlMn2w1lORWUiGKi3lJacRsOINy
pwtolQnULYH9zzLUTWyhc5sIiHL002T31T0WoGYXF3jPQZ5j475zsqy8hxll37n9jOwna1szNnqR
kXw5F5G+tadyJXyj7+svMvJnI+a8C2p+WIzXWG+yjwzoJKjb/Dasd0te8Egz02rerkrk05ViID7s
xSJK/1A0PlCwDseG3A2OqYAA1tH67jRZ/nth5j59xdpGl2M9BgzW0TfHuIn2pAhEi3qaSBd43xh4
atxWblg8NXPTdXEUltog1YhYX/irCsdLp7fCjTG8wVeGaQh9gCWc/i6GFaNO5oBBf4Gvc/mYtkHz
fSERjXAw1NBLIozJMePVntZwD3k4G/Ak6ZbHdVGGE3dW709JGUz5h6Fe9bd8WCSCV87FTWBueu+D
ql2znU3myGWVYRaXyCGvH7Sr53BXCa2udTmMzSVhtCNh0bqCddZNafNpWm3oz+honQyV3WT5F7lw
sA11SdVrEzn6SiVwByydIGLTSMOmsSRlT5ZQURVP/G7tViYdhUy7O8dtveLS8buiuiM7JvBi9jGr
ja0eayZi4vG0iUm7LWSCY9Pqx6thd9ioKJG99et6GO9XyBA1EkhVbZHNDPsOBEKW9c7qO0kHJsL2
jSdW3AlIU5s6solTMg/NVWXPJE3zqyqj5GbSWfNsEATLwyxGVe/ttMVtIDArK01yt6mhJjlmoXZp
nfU85SAPv5mGhzG9bxSZd6H91coSpmL2W5wLKw//bmRwiV4HebUGg34zhCE2re0s+i5x5iHoYtU0
4ZvFrUiB8QPNm2os3ZIzOzqSUBk46jzQ0ein2BtqFm8r/M7ZhVUIUREH3bI4WN2ceTFGaRweyveH
qyBMieGpTIwM48Z2ivZywHQkSzqxNs/2jD9BjG2PbvelPfVF4hVifZ/PW56a43TmG2FBj907Vq7u
xzDl6U/l0B2W0lDf5FAUuFU13fLsOrn7YLYCmkSOjJp7XMz1m1qztbjycKs/2M6U1vtsiMJvbmqt
rGhcrogIKNp2L7GrfBSjqOwbhOCpcxkMWfEHnNy6S8QkJ4/sPCf1d0a2BI+LBX010YoRa1wxOOO7
t+svY2sH80VmF9PHLrXVW6tI1TMpOuvT0EzZZ3uAZp90UaacpA8Gn8dnlVW9m8G/vsulCNDM5qb3
jchk8aUoCWNPhgG5elIO9jTH8IjLw8pEFWJyJ8LsZk4r/QeBgg55HY43W9iiLvjmrvnojrt8MttH
YYjhLfxeFkrZ4xlZszc8hqDF9S5f5qbeF2NYeJvzT87vj9AHm5mr3rqqjr7OTiftZPHa+qZP8fhh
7pip6zwCbt9BK1GEKlX22sdWlM75Hn21/WRV6xYHrAqebBYZOIGX2NtjvUPUIRHaahjqy5mDJI1t
ETjzHg5UGCWzM/LxCNuf2h2jsPEm1UX4Dc+S6So3c5IkeL5ltkPjIZ+r3KzdA+45GKzjwcDRg5/p
9MYrmUXsnWo2+0TkpfVcTFn5KXC1iXs9K/pApzByWK1138WhPXHWRSo3xkREqeft8nSeehzSw9Jn
FXrid3D8wNlZIV7vaBk656pipH/Vcdo/4WA+fZqcGgWtZKVD8BeOPcXsv+Rzr1NehnvRBuRA8VDf
prhY3IScAeQAWjI390bEx7zPXBghYzNDiDbtZYibzm4+8yE4KA0XnWYgor2rMOCs0y+kwHQ6rgad
vgkhiok495b1XO7C68WK6zIwQY38A+WxKDx4lE1Ef5gG5hVp6aSy2jrWIozZGPukdMU51+4f6lsX
GgEjInLXMLj+IeohN4QBA9lvDkFtmA9+cd+2yeaMvCMy9hxF7YfZzHatAAG2s3nDRqecPuIDWmBR
KvZwxeoqwU/RubYdlEOAv52TyKaj8PTK9A9d4k/fGcH8Zxv53wdU/g9U+7KYScndOt5/jzsm6Ia7
r9W/QR7/9Rv+hhu93+DWMjNiaIpUbnM1/xtuNH/bKJf8K70H1gl0A3/BjfzD1iVgs8O728zQ+aG/
Jb/Ob/yeTQ4cQKbczPijX8Ibj4HE/6rZmWFs0nVUx3wCGKIzR3vZLXSranB37PUVUh5RxRb7G//z
O9HZjys+r+1FFpoi2i+5XKrD2CNgvFg023XS2KVe9x5pTdfOgsPGRXWUGi4aCa7CoaB02o+VTJff
J2+yviuLGO94GqXn7wrGQG5sDpySO7OzjF07RgvZQMW8BInrrF5z2Vs2OawoQCT5lHausrdjZQE7
CW/CxkrMPsokWxl4lDeNkxc7x0in+oDnlbUmlYt65npOlRcgBBNuuS/LNhh36zI4gDh6mFaOBo7X
vbWKyCcNMF96uK+NIZCIGzWHbKORLiyEoaOkGYOZKGS/ZF9tSLRWeynM7l3XG9K59CE60Lbkmf2e
TGGN1QaH60xla8lx7wltmZeNJ8x206lBgMP1rchI/CQ39gG79lzEysS7ycpGOcZUQj0CjLqM3lQI
11SSh8pC1EtxdNWmmbsiT4raCyIMlEeZ5HQ3dTUU8z7MjflScWR7Sa/64HPZTcujj3X7oz/m2WM+
Uh4mJJBvrpcTrIT9mmdNtx97gTecscrmvjAw193BruvMd8QJ5uPOX1VQ7F1jgDIYz1Hfvodl54mY
rOoSM0ejErc4AYX3i40GKa9sOBX01+a106MWSirPy761WAPdrVZaX0E9DvPYKSFWxz5N74MBTZeT
CVVOeNG6MxMFR+qVypp3ocPJTTKVLf2+0lGxudqJZtoZLIfl0hd1y9Ft9/6cTK2LIfS85tTrkcRn
ciRP9zFXpAIx4s950zW5msiN8gLJ38JMazvul2VNhG2hyLSwFfb2eBe5zzLl7+EAktU78kkKecmx
LyaYK4gAKcLZR+MWnbKIR7My62QomvX3pVtJDw/GPp3fWMFsA9MT9+zsZ7SxXzsAtTd2vQQPncq7
p6nJpX2B6R7puoGG7l7bZfEmqpaWvKbeXaERk6MXzRV5irRAcPv0OtdP1Bs+/VsnjCWhgImanZPl
3lujaoI3nSXV2yDz3McUneGU1P4y37XUx+3NWANHJIsz198G09IBkj7betJTOotktmBeXRgIH5f9
ONXTx1YG+qlXi30lrK4gaqAJKXvK0pIPrBLsW0sScmgcjcwdLsxuYirdIK7Yi7zV90Yv82fZRQM6
x3ZRz7kfKpEsNk6Zsaq7+iOIprnE0m7dalfPg6Uu0zRQD2O/eZggngn8nTeZ/RXczWo85B3avljn
5Xhde7Pp7HtjjD7ZItTLFawxChVSF7IPQdfYf8yrKz6nvce4QFntJBNVoBXedXWbQtDz7VXvid0e
3cTpUokAMWNycGm5bYRNTUQiYWNGZXmh0rRQD/7i2eN+qK3gcaBYhBk2a49lVmECfCGtHDF17pm4
wQo9Te/MnB7qoiojwWOpR7OheRuxhGIj2LC9bJznfVVkS7aTHtI/tFyBtnZSe+wO3RSyUELtGnO8
kJ4l405LdrWyFtaHQTWTEy9BadI9D0J/rtYp63d42RQHXwt66oVEbxJ6RO/cpRKJZ9J2fopRWFXl
f3j9PAfxKmXjJEG5sSeMjLox4SNyrp0stPN7wFAx02RXxQ2YSUdEdLuJqtl3liw2Jw9/wnG18CHD
Fyx/j/F1t8Yu9eHWBGmfuMHQqfSeRWb7JBlHxpu5syuMPt2w/tC3TEPjaenG9x2l3jMKU7tJzL4n
6qcBkUuGfCU7c/IMwiGzom+uK5wBzQv0fh79wRxZcqdapw32AEUelO2m6r5oM0S9Vzijf29pmKuX
cFA3NTc6sisDFuCXFXFbdTmP/fo7UlUzuhU9NXqpSxwsLdkhz3Qyg9z6UPDzcWcY8sHgUYNAtpP+
3kFmsGPNQIEpTx0u2QWKYLJs6qkYbssytN432VreTzD7PuoVN136z5CJSmkXDtwcpkcqbpwlmJPQ
n21vB0F21nvNQ1o56AoP798pF588ozflxWpKE+vwQXTbYzL4LPy24MOdzHWdkgxn3ILgyNBrL2Z3
zJ9c8k/mXVgHfBFq8BbuPci6r0VXDBMmpUXRE0YlOAh0aNLGk0Qy3k2z8NBUmp15mJXojTdGY+cX
dl7NcCBTR2e8O0ek8coU6RvDIkZZtHq4LLQ2U6corHgaQ7MUc7y6w/RFO+ty2KzyhsQoTZtYssqY
0WvpMUKzrAfnsZ7QjcVZ2hGKJhzJ8AIzvZFxWOOOV8PMcRtnkJZLOPbTdI+7XL1w6tfsJ6sa1BJ7
/hy+XVLbVHGQ55BDpyHTmBURErTs6qxYb2rVzn8sqs9VbNS4Pd2manLp91ePUBHH5wTW2m2vzGqt
mF8M64NVuvyNWOMzHAm8sjCTwjd64zKfsLWJ0yUb5ksMdPqn2Vz3pUuyMa/eb+sLU1j5+5Xu3Yx5
ASXNSwlDOy5Cb/6DZBp8qHGbKrskxDzMg1woVbFX3RqKHcSCLXt2sftdllfrZiwoCyLR1+UDWACj
LB3OZrD3KV0o95mEBrfNOHlRsjYdPiSFK8H2Zk+v3kFVNmedF9aRd99FYXM/UtZ0iJyKAlVlbov+
uS4qDDYnXF7DxBtw28WvvRv9u4wcRrUbcI/6KPKVDtI1B/wMW8so5N4I2qGnj0XSSZzOdp5ZJWLs
GwYXEbuYwiXrqqomo7qsG2GVSVH1frtvlNGhvRWVZ5xBU182Quj9gYtN4LMQPAHU+sgb+wdKlzeT
yWtfnatmZtkkpK/1D4PuyjFBQ0rcV4j07Fij//d1Iy/8iv5fcij6q+OgRfj3Pcse/6GfNyz8+N8N
S7jxIwFqaQvoIDfR0d8Ni4N9EaCCyVuDzLJ5bf/VsNgQJ+k3+bkQqgGaHlDKvxsWe+NOwk/YVBqg
Hhgg/VLDcgoxwOSBrxXQ1ZobmMzf/U8gqq28zE2NITvgzqnvqsBj1jj049t/PJ2HP9uff291A5AB
oG5uXkxQh7brnDRFRsocMBwqriK9o42Aey+lbq5ISdBPv34pXiHyUxpPD6eNlzeUz9JswqbODstC
ORCKbEt7BwIdilycYbz9gHRxV0CgYGu49XF/27//46szm8luqrUXB1VX3lVqmNG9PQbVbUdo8ePP
7+oHpGu7FOg4Dw+rMuh6Ly8FWy6jsPTEQRQBYyxDfWrw3T8Dp3nHcKd/Na/H9wRkt+ljSfEipvME
6rK8oceEscsOmCkY96rmGYo4qhgtMmkq3J2s7DqLx6F2ulgqDGEImZ8IApDCseZLU5nmfWgrU0ML
C5wxYZLX5Lc5qnhcPly/vpYkG9DKliuT9VYHhJvgYtwK2h6JpUjuGPqNN6Ycr4qcrmZHmIXzGaOa
6rZHPx3umAGmTCWXYcIEHY33glXLars7nGi6MjZctwxjZpm4kJiE9eJnUGHJcFlsK5KG0fDLHeFh
7ZSsomOmDo9JeOAiddVhL5B5Tpy7g/OA64ml4lQ2ebWH6QGTT6PscvG/k9HBs4WX4ZyhrSe3KEQd
gwPor2WfWu/kzDgWu+bWWnc9ln00gNrMQnxrasfeZYQVLPGkm9W7coKJWEMLfz0MtP3VN1C80hUn
Ogzx+i1x0qS+wLv0IGwDQ/G8CdIusXsbM/Kwsc3nbGxcOvQsD8N46jPjg2Dbx12iCoPvUG14Q9Qc
zvdBGLhDzFUxfDGhVYwXRGvnkJqqViUTj+kJdYP/raqi6NHJfBxXoC6TWhHRFUdJwUH2jPMgMbQY
pYDA9altfcUyuKl3QVuLdRfyoD+ZEB7bHQpYAycIkFAVg4AFM41FMTWxT9rd51lq/4OBHqd6GKqU
o6+feueZpHP/S4erMlnFWVR/H8k2t2EMWkLB9Tdc/AjKZSY/ehzyj7mRZdEOQxP1rgjW5SG0U8AX
mg99E4Q4mjDFWIxbSiisGbAiIHwuz8kwiO1JqzYJ6qYQ9NCCp1HbUxXdluxz30yYi9N+GErX31Pu
pMulW5ou4TRtlD7hTQ+S5aet/oSCLB+SrAZFI7PDt26wUWhC3EqM6Y5fR1Y7QusWAC/Ml+ty8voP
jd9i5TvPWdclZldHamdZMx1tLKaoJvmtaKlZichGCWqVM0WYV3mowKJ6xF0QXXzuxLbdds8zYQwf
ogUwcFhLtNpsN+J5VmU047vkOr/zfKIhWdK1IhvBH4i3W+kgHrt+brCxYII/7UMKG95D02d9Yqih
sfe9M41XU0SWCH8CTtdxr4LowZ3DmrgHK1Lm3rYzZbyXWPu3sbbCjDzgsqBwEWNK1TVOxj6q/egP
K+s7aruCwNj93PWmuYMmhE4kR9vfvanVJLc2d1LV26JspjvFvedJmbr1xyLPivHSlOXsveErGA4d
MxkryX1NNIjbYhfU4NtT7wbAyoKCdDY/+IaWAOCg/QI7Dg8LkylfrDXOIWys8WgQAH452tUQ3hWT
OT2Wk9NVB1kY5u/1GnTZFWp91qYpDIyX8g0JjeRcMRwohwCANGsAS90jcKpQ1l2nRzi1PUKrckNZ
ieUEcA2O4Os6dIJW7wjK0iTK78GG1AKxMH4+oreEkAzAVkdQd8yr+3ZDeu0j6Dv5Aewf5hCAwQB6
ZLqMlgTGgyUMYCx1PoiL0V4LnURIFD/JI7xMcgFQc0T0ZbknEIOGycqXVsb5hkxnR5Aad1AAa3dZ
6Lz0Eche/XoDtTd8e4HYANRNaO53YLxKJsaG0W2YeHmEx7EhASpvNtScmVb1WGxIerBh6t0RXofn
O0+79Qi7Mz51KoY3zfw9OwLznpt1z+0RrldjRnEeinxW+3r08fvwj/C+d4T6Ze9E+gJ0HApAtLEB
4KvT0dlN4T3LI11Azsq7s7IFrZba+AT0ZKbGwHijGQi/NvzdupLDdb2WdYqB1IJedGd0G0WB3byz
k25jLtC4rUVitmR3x0UtS3XZbDyHCsJD2hCqy7CLyVsSYG09x9otmXcsR6oEtGX1bTgSKGqnhEyx
Dmvg7kybnEIUsGL5mvZV+FhvHAzd2LA9iiOIEh0BlXrDVsojzILbUvTFO4IvQuko2+M2BCiD24j8
jLU8UE2d5vmjlabiXmy47J7ZE7BOdIR4Ns/yG76X6q27DMtnpyQ7jTAU8g/2zkR/G7dHwGg+gkeo
OuxPNrngTzUj4sOg5HcV6rBLUtqfYl/1w/joAkjDlwoM+yOYd/A+aMYqu8iwer1N1zEXGJsKt43H
1svvU1sCChOzQze8FNJk8miRehl7zpxx+lqNfIQ3YZD9l3fFl9L0MZdyzL5439salxkyVPkRBLeB
E9frAHEUEsaamOSAfIuWyL8Ex7s3+IggcYSlfTGMdp8yx3Kr7zaSL9BB7Q1fPKltGHLa/hp1OBUm
tWcPKbHOWD7TwZZW7GRp+SlS02aX3vfNmjRVMqaNFIksbOduPg51FIJ4HLe2WU8mBlwYGMfrz/Nx
GNQfB0O0oNaHpjWBrefj6Cg4jpHUcaTk+gszFiYjjJrmpvD/D3tn0hs3krf5rzKYO43gTgKD98Bk
MpWStcu2XBdC3rjvOz/9/Jiu6nIyNcrRnObwFtDo6kaVIyMY6/N/FqI7DxCUHA7jsM0O0FSpEi7u
xEEg5yw0ovscIVEy9gakaw9G3VDG1KIgb1z2BjP3ogMIFhLx3m1KNbK+6AeYDMYOkFl2gM94JgCl
lUFgY2y9AGyziAHbhB4DvJmTmKYtcc0AcvUBnDOmsWPU7YhJXOAt9dwrqvyz1YzgqTnAez6/dryo
D6ifT5YwSDVYIKZFgCDtASLUFrRQPwCHnbwsInvBE9MDtJgfYEaZQxqKy4I+cvoBRIYHULLgDvWj
gJENVNmCWgLTTjeV6M15Oy+oZl3gn+sJamGKU2FvxdWFq9FdMA/mDAdkgUbrBSXFKWj65svwCGEU
NOO2PwCqkeGHFPCzMHxpDpCrrYSgrwcglqA4QNl0wWftA1QrjbX2hdIo+G00mbezaPV78wDvphC0
RkD8BfadELV/i0QOGGwdgGHRBMWDOvczA2JxVnWREd3aBziZuTLuuwPIrMJB+pb1lnmXU5O+7Rc0
GiyZsdRZ1sHGOADWwwG8hhk0/ZW1NpB2cYC38wPUrR5gb/MAgcszscI79ATpQ34AyVmB2o8xA5La
JlNXf/W7ZAo9M2rLaWPVpc6Cz1JqF0Mmzbpr8TFiJ7PLcoJ2UOIDBk8geBkn0WDdVzUplfPAACKr
JyL9Qj1NWKBhwBUgDEutAYeeIyyxBumOQnr1PRo0OXZmqyFIqbcrpXfNMYUz4ue6IkNx0YlvryJg
h409NWQZqFXNli1sDJousY6KCmeOG/3XRDUuXqpN+dckMPvPM04SklO2ageIn1XjjmtdVDuiMs1q
i/Ed+4XZVfNFI2ajgnAwaIlbwkNQAe9S+5a0XQ5QcgJIsK9j24ghtfRT9PT2i+oYMvn7qcMjhyWB
MQCejMcvqjRPfTMiU/RC0ecbktcvKeBbTtXET73kv8/Cm8bgDfJy4/nLMxuJzvJj/ngpgr+JXE3b
AutNqmRG64epY/mx71b8a8NvaAZA5XXb4ZO3Io2hQlqI9fgBod04bkyT26CZBj/fx3qsuECuNq+U
vNi8PX4r3+xDn+BcglBQP0VbuU6DxfRoKOxsKPcW+3OPC3bXsGMqSVl4Swn8IYoNtG2dNfuA1aii
x6sxCFO3LiG+OvAWwpuqhaG0UWWEY+/Cw37/Ng1KgEKUOLL89XNZnwWuPJbFeE+kzHA62AI+V6d/
teJ6vG5SmSfqmeE4HXV4D6hMF2I5fx2G649PXArTb7GxS/dRa9TPDWzLj5OgRBhkDcF7Xal+NPQO
q7emLQxXkzPjMZ00Ao9Hq7kSvCKvmnm4kgw/OmdEcfrDFnwCu0fmn+BvViiF3baWXlMw2tdNQ8o0
axHHQJb02/0/Xk4gkHDOycCDrorwAahrBbtgnlhWcMSsiz6X8dZSq3mfat3PLk3JQO5gCb3d3PKj
/wUqluaoikCKpda/eBSsPfFbPTbMMYd+yyZeeDxmJleodb0LiTA707Pj8Ts0BdimkO7CVoGMZNUz
Xr9mHU2ldSGsToeTWvf7rq7DM62cjh8QnIWHG0IzPKjXOBz33diWRsO6GEPjaxvKH5sM2qxfdvcQ
2ILfjf03eIu9vPIbiDuD3V6+9C9HAvd//r1/QFvjwyEuh/hW5bcP/H9AW4F/PGRwXQBlMveYmX+D
tpKO5zzbLtof5EYsBuVf0Nb6AH1bZWvgCozOj7CL94C2J5NlSZWF9cQWR3eVdYhO36WlLLoZJl9Y
KU/KPGqfo0Ypv3E1jx+lKTkHDJ4sAXSlAvtw7AwXm+T1Vl/6Va0CEqf7oZHUjVGa1mOZ5zkj/J/P
8ApIfKhSHC3qpRmklqSsMYqYex8fXEaOOnoUUroXVqttB7Oa8F0Xco0qKNVu4fJJlxDrpK2aKz2R
G7X6lOp1vk0ReN2996csskMNu3QWI79nrSKeNUNw65qli6RScYKFCk7WH4TjQlpYwNoEVlfBAg2A
6SguG0kqIHIGXIigZvMgha+Cuevbv2lB4o9GZzFMoIBALMciClhiC/68Q8jgExbmXPUe/Kd2zFzF
jQPQEs6NCC7mqjfuagPK/4KRum+3fPL5aRkHIwDopWVO1eOW0TtAaMiShkiWStvFYMPbTon0Myfo
yaRexnoxOAFIh79lq8etjCMiQ2numn0iokf8afEfzspn4Kefht74F2936eT8WCSW3FkWrSUCpnUc
lhxpWhMJo9/HdQSPdQ4mL2nHGMBKPmeLf6g4HH+4pS2bK/Oyl2hrQUwQKbmvaeGwJ9YN2CaRSNp2
pqyUrvpJBeurWLbCLTWh9ZtBtBZu20XS74vIJooExq01uwiAxcdObYzntLd4zCZN3Vxbdg79IARj
rjaVMsOnhgde1MA7+tA+iMRIEsqVCmR6HYI7hCHkB7AdilH7jqtLqTnwnLKC6mwpwwiFOPFlGqoe
QldsBmeW9rL1rSYvdkVMHe4f7ILL9nc0eYdAiQe5Kst9k8bz4g5si9ozbBKTN/3Mg93RmsLqHSyg
R/+uDJJxdHOG61YoQ/VYSbzpt7HWiF0heu0eA+Toxoqi4jM4SRjz8AnzT+Usp5e2qIafZtxTRY58
erQZIcV9GboQz686ArZ8kivMUjZjkMnWVdXWin5hpuncflO6IAH0SJC8UKQmGW34SG1OZLsq7jMK
uMnAOOYWT9TrjpUSbg0jnK6o/MbfdGYSlJOQnd/JAmzM3DgNZdmpswCcOFSrDqKDqczax4GAsPQ+
iNroh6I140swQEZyBjisyufMmmb9vg/S8vn9U31JfGMOUrvhfDoe+qbPRaXVWrIftYqgsCn9kiGC
dMyyPBfX8dqiQjKs4zWzHBRrt7oY81biI7t035s8uNtB63eJAil87IN5+3anTrckExkI2S0UFOnb
WtlWNbbNxY83TsGdFFeQMXNTxUzfvfFxxBNogX4YR4cTf1J88xvOuhyR8ihStx0U/0IpM3n3dl9e
GTb4E4sJKrdMokhWGzvu0n2rh121r/Qwfa7xNoS4Aedmh1NHkZ45RV4ZOK7qXJxRbqp4eq522X6W
ASNlDHHmynoefdXY91xaznydY640V2Zs14jWMXBYxp+LR9HxlOsQ5umAI/Vege2BPiSaFwpcYGLj
lGrhtZwPYt/1oOZpo2bqZggFTIW3B3XlVnH4DbC1Fy8hAn3gMq2u7SXm+6T/clzi9R0+kU05b33T
95E2gLNeo2TQIzYO8kTNzMr3QW/1d6lvN+dOtVeGYjk6KaUulhnkOh8PhTpU1axYSrOXSCReKP65
3Fy0uGgQq1oqQ+BA6kHjYAQNcJavYY2NxVXZn5nIp1OMT6JoaGQZDcxnVie4Ik121TZpuy8Rgt5Z
qegf0oLg1RhV0Jmr0zJbj087muJkxWWbKyoekscdBnIrUQzN7Z48e4FkiQgdj/4KyPFqr/6I7VLe
EuAhvfhl1r/PxWf56Iwx1g04V+IehvfjceMShZEuk8Z2P8otJTY1aTZtAEP37bl1elOhFYNNAVc8
KA3majStLOh1PN7bfR7mLwFJcXI23gxlS9RGB/Xq7cZOFyznxsIuEDwdcGNY7Q6VaHyOG6klhKZN
n7skQPuoB8Pj262cThBaAaaSBVOVabLqEqx5tSf0t9tjxJxfiQRXfSswMBbsyvnMynylQ7hV0yf8
LbgMrEcPIllfquRlY/OdSJgCwV4jYO3c+j9phTUHQ8bA/0xl8JSVlUZMAdEkPnjgGiXnN62g6sTt
3TrDADmZCdgI84cvTqngK6duqWlkRwgVh32imggcO1ls8w4EJ5HSaDdoMFrf/kyvtkc+EHdwAL6T
GEohYjtSM2vY+2NgPxRGP2yLYSx/9EqIiYbsB8aZBk9W8+KTTDs8NJdL7NqRpJZS3Bdtddjr1aRt
ibG7GOfoeRzknW9Ot7KP43imnbtHvN4oc56XrUHjq1WMAKES5Wzw7YR4tk0KPBEUjYZyPzA29HSz
bW6HbDhzRz19fi595V2NlTaGkjzyjzePSqXgqNTFiHeH8KxeFu7ck2LQQC6/8rEzfojrsn8a8xyZ
AQVH7cGoNLB7X//09kc+cd7kDiV4ZEPK0jHvOjmj03iqFHS94z7INcO1Ct0yUflVfuR1rQbRF3LF
RwxT2k0cCXMHjKheBkWbXA5WgYzTl3PLMYdcuieNi1fU2z/utRlIDgDsKrZAVVkf7fLYAc0pNuWR
rp8owhvfKlIuaoM6AoGQf73d2MmuxEBgf8xZQvIlF72V/h3KuzF0UYRcOKv9224IkNtjFf7s+/qP
d7cEZQwvdYoBjP3a/GHw24Xj3k0oVYz8cijqcSd3crpHFW5s327qdGeiJVzOD46xi9Hh8TSbY8Kw
S8jge1sb9S8mfk4vSV3pZ3bZV4YOIJETUOfhyUm4msyhrMTVlMcCLKWL7/IyNa+yTPLvIKxkZ078
06aw56ApUhUXvqJYOvwH8s0DOlXzRox7KzaHbezDsx4VHlMhTjvvHjuaWtzHlnAFjB2X2flHU9C2
YDIr+rgv+qpH3+33X7jmRWcu5MuL6OgKQ3z48o2IhQUZOCkNlYOIoipBpS7P1bRRKiuGAqzC3upV
ycMNwbigLhdcvD0tXhtFMG02W2Q5HFqrc94QVO5HLZv2RBLJW7stg889o+5IRTB/erup0xmI9T1u
PgY6RrCtdUUgSKa6kRGJ7qOoTS4oS0XbSWtH9+1WXu3QEhsCD1OFq6oefyu5w6QGGBOfrsR6mqYg
3FZkDjoS8rIzLb3WH6JW2CVgLi4JIsctRZhfmOGkTvsEERFyXOj0anvWiPJ05+PTULoD+sW1HL71
cSszfJeRpKJ570/WY9ESY2UTBpZP1S/8L7Uz2+zpEUhjLF2MFOkWXTturE7lwvKnZt7bHYSOzWjO
5tOQ8Q86KbXidmNKuGESfKRZC+bRKWeCEl7tK0fvcrfBfX7tbpwVRmPk/TDvR8tso01p1OOmEqq0
r3CEu1Ti/Fz57HTJ0dUF2QRk5lBZB7XX5mwA2+At2BCZsW3lWoO/OyhXdhVXF0mjxhfIqIbPb8/Q
00E2lleCznIHtcCO53iQlcUdpTXshX+WYXtOuE2xCFdM/DpwTbC6zSQiCA9mmij3STETmvh2+7+x
l+Odhm0TM2+NNyoKn7Wo2A9JVlUBcPdB0+EbG7VtSl4aBL5mm4VaQHRbB/fU7fti/kTlqDIJ2urk
ZKuMCPnRzcgTMniK7Q8UAobvYZdRgoViFty2PfaTjtUJkbgV7Kr2U2vb0L6qEStMCGhViiv6YFUP
uGPqYqvB3/uVJFmjuAOyNYgCalks6WbdgOtDoDaZ2yGO2xktmnIPRxC/cOKuHmIYOEafXchKr9YY
cmCj5fLPEXuvpkVUeLncttJGSMgtNjNXJn4zkk/uMUqrfxpFXg+OhkoicFWfmqxT9YHxYo91YZLC
lce1m8RaJsgEj1WuAFFlbesGlt+WFL/xE+7qLc4ctST/JQ0dkHg7zgGEZNOOFSchjAq+wjxCsUQy
/E3gXNF4fArMF4Tix5+522ClNxoSD7Z2SmcFBFJa9KNBWUG2zef0ya6svPGoJeefwgZ31j3MKpF4
aapFvywlAXjEdMe0t5VvxQhORC2VjjFa+Mc0Rlz/MLRchNuU7L2rDoJygMiGSICNUZTJdZ918wY2
DSSNjpt+t5WJEAjQjJEN6JAmpzwHsSp/4XLoj040jN2DDFbKL23s+CPVkfBxFD6YKEpouKkKHj4o
ZhDHVDuIpLJXQLCTth1uRVCgbGBIcj+0+F6JWiG+Spo8SBdyOeO7EJbGEO58xJyxow4YPThRglkD
QiKtaRx74jHvFF2d6Ds7G9MQX5C6eKwniIZu3In+xeAPuc0hVX6fRNf9gHSif1UI744cobS9/MLh
ij9IlwyRC40S1iYi+REuTj0iv4Gu19Ru2HPc3kLIJZDIbMe6hykuTPgEidTexXk8pxtfICh2tbgv
LJekDyJOOH/DxzmIiWiz+0xRt+Xg9wnkJUvtsIspajxXzZEwEliCYLOlbOeZkyD9+amRR3YLZ4CL
vSrXU+yMQumVbcF2G/A9m+qbCvnwhSmic/njruGYUBq++DF+y6YmBYvNPWx8Jw+F8awbwSdw9pmE
JaDBEI1y7XS6GeS4Q6oV7FnoUYDdEjMX7xBfa1gKFd6ethZIkcPWphqb3B97bUvEkvJz6kWFuknx
0QbiRoYvRIhI16uQ9NqkCbA/OfhDknnSBWMKD6tqr6u0K+rtxMvvy1DnPdYTda7ekGdcP8eprX8m
C6fH+8NPBtWRQy6zRDBiB+W0GPDY7kiOEc43ksIbC95++peWqdl1KLrir0Ym1twpOJ4eUtMuCqeB
HjfSfiPpiBj1PHLbajD3IchpQwyjmTwNIix/ij40PuKl1ocu2U7dc6cjfycAm0rqFo154tawS4UD
SDTXJAP76Q/VHrr0cSiz/JM+JfGPqc/h107GmNv7FJD6cohk/wG/EbZlGMFd5DTy2H+vssJC3Qkv
9LsSdeHOsgYpJIrOaG7xWuo1qP7BZO16HcLRZTTGc3ODKCBQgcBUESKQ1pLJNdupsUkYzFrMNWPV
zBwcTRMCuyr4xk5pD8E1vsypa8JjvBC+9BTH7VNhtUQUBqPOHTefx5q10NT9FYZHzHuDOQVbPCw6
LJASbGY2ATmHtyTYN8+KiP3etcsc7XJkmy9aGk73kzHozFAVPSfTWsL2B3nEV9+3faSUQx9+NKGI
aLfhHLHBx0P/BR2g2ruhRRXEbRR74qPMgQ97f5JZNgUZhtZNlKMT/n3Lehdp4P+o4zpSe72ZXP//
oUvFkknP1fGPw3vJvT/KpL85mOM/dtkLXhXHxIG//92/iQNCfNBw9uYOzxseg29uVr/VXrb5gQvd
P9YUXFH/Zg1oH7h9QJgBDYMbBoOIl9o/Ui/xgUo49wJ7sR4Bf4E79h7awAHm/fe6ASy71O5J6eb1
STQAZsPHFx51ttFhF6ZP+GjeX7VtYO1zta2+9pXJdbaR/W2mdsM1RCXrfoKHCHrbxJ5a24k7RZb8
448RvPvd7p+isONL5vJrdO57kGoM7mALY+L41wRxZNm9IfueJQfBHYKd4mvZlOGNj6fDDzyk2nc9
e363B0HJ5I3AByd06Li92tQrmM6N71HG7vZFok9eXyHqeLtXx4+R01aWXv/xREWxXRhdV/teaYfZ
PWJixTERlnx5XyvgIQS/0A8K8jiamKv3wQSLmAoucpcm5gCPmvLZUEf1DIaw7srSCHNPBXvmHYLj
7HFXaomI+hgZjgc8U/2VUT554v96p0klnCdyy6A5LpgbeM/69SZLaVMUoTR4k5mi95/HGwogP/xs
/mWG4gygdDCS/XMFHBpjsskMHgrLdZdkKHeJQLXv1Thf9lsi9Dppk2RxMS/WG1iC8JZVuOdMlPLd
smyy4iLIYqwTCnsW1IcpWVxHaVLD+I5tP8HjUlU+B4T4Joi00whpmCSFtlOORfrMkua48fuuI7ZZ
teOtlPajZ+ii/Fx2aMI2AWlQxMbklJ02nOkThn21rmVbbOzSF23Ugq+DERcPCZmF0xa3vu4pGqHN
IARQxZXK0YNEnjKyD1keNzanVvXyEU1NfBMkgaO1FPRTkigat7FgYO8JYRvLvVSG9pMdDHJ+7beY
Vd2GQ5qPlzHHT+42ocWf5sO7xkditgf8jPIhRPrhd9GNEfRYG+ZJnhlullTE9lpWiWYO1iGF+2Ai
KjauMVmsEDufgWaXlbn+arK6aBLB9Be66fFEhM7aFSlOXB5Wl+kWyX286SLN3lA3OWfzdDrnoSkA
/VAcBdCC73fcVFmZEjHA1eDZRT6iPeoVl4zic1XBVXWSmuSSAQGgzkaE6RDv3uNmlEKLg7JTe68x
42/YlI0/lKHJPCOweQVOc/kxIGnxI1zReYNTi3Kbi/zsjzgdVVy6BFswvB5+BWfL0U41oNBMeO30
Xkr2uhPEdvcl7E0QZEioZ8KkTkd1IapRrZcXQBeG13FT2EdUGTzY3jO0jpdKEVsuTkGT+/am+EqH
sHWkIgd1C1b3moKrqbWEiIcO+SAUkDiIQJjnGDFdXJ0DSF5visOanRGd9hqvEFLStEHZ0FTcpw/B
EsaMri7/KpC3/L/0Cko3G9ZBE778lD8OFIDXQcKst/dwbWh2Bcapz6Wi66xHOTuXvHQMwxymJT4C
3EbA60hPWx+RYowt39Y72rLtbSTzUE+sR7v1b/VQKQBCtHPpLq+N42Efhiqw6ONX62A2zW6y0RR6
VSGQIjVFus0FafU52Oy7xxF3MMqNCykcq681fldFGoA4QIXXhtyWMedASKGH5jYrCVx/eyIeZtrx
hmUtRH9gT4zT2bdWu4hdm+gDkbd4oplNDHgJKksceEYm9X5Vx+ZEdFVFbr2sULGJlSm6kfyuxjG3
0IcHDhYbuhNcHsQfQXnuDDwdcn6bzv0UVgRVy/VanFtNkxSL3wZHG+KXL0HOsKa23YcmMr+3B2L5
fOtx4OWOXR7rnorHauM2xjRoh1yontlayiZT8TAVUphs327ltR7RFwrxMMsWRcfxCsmRvYDdlIpn
T/WT3aX1RchZ7FC4DHZvt/Raf2xiXZdx49K+Dp1DnhaW9dgq3iin3V1qNPomSK330W2XVchrhEws
Hc4WxMs1uQmGDkJsgC2PkzDfBKWu7DhBlPt39oVbF0XypXB9KBGtrt9JyB6azJniFY00bqdZAHX4
1juDsbjREUoN94S8Iw5jotCPv02v9H5kNvbskV1pbVoNU98BP4ozdfhVyZQho17DhXgJXTb4+3XJ
OG1lO4xzMXpNk7T9RoL+YTmGaEWOcirukz2k7GYAs4y43eFkLe9KBUuym1bRoPeWKaiq04Iw+Rve
ZkOFsTQkiTO7wsnmym+EqsbZpCLKITJtNRRlWwNSpfxGLftIgV93B924Tm35DnMmLOLspjjzFoGj
xp95tABpExYEbGrMEjEmXCb0H4eHIhZh/6zM3kwtN3ETdbGmwhEvx9e7lWRjwzOLsvrYtMA6Y8RN
c5sKvIl3AQ5KDzmvs44wLMUG6WhK5SHIlDrfhMJvhDdlBPVtcAGQfAfD9xT4Db/BzLEDE8czKTSn
zLWqDFkzarTe9ccEw/mylgnJhYcy3UZ4MTYuUu7xMcB8C9PVSesxXrO6elOWUr/3W0XnGDdCuKsS
RocbMc71U8JV4lOm48vvynGP1Fc05o86jSZ7k8hdfxN1OX5fpGfipFTqCOVgEQSx108tyeJFnOlb
A9am7oJh9tEGSX35iX8M0i0yzmIEPIyzzrFKf6xQ1tvhkzU1Cok7FIjpFPj65wxNZb8Z06YSOLJH
2VcxZoPu5WVj4hweI5x2S1OJQkeRDDO4SHt8T12l5Pq8y0wpDFwzbuzHUmTR5EJDLp40TGvpISaG
qoOrqP3c1JL1ZEUCRLLB4n3XzfqcbSZtmnScaEcSgdDT5Z9SadQKclq1zNhWBh6SGBplykJDCTNt
K6wJa2kJ/EtszGYUvwpflw18LQr5V63G4q9pCPL6uizwh9kW7RTnbqmM+BmxIqZpL03DKHPLhlnp
aaTA42SdQnHaWmY/fho1qRyILZP9GVspX0N5azV5hed3bkQuT2+j2dSdMd1JsB5NT+JffOwTrsMO
JtdmTIluwB1EGSY59grcPD4jCquLbWt3obGRMVZALOjbcej4cxmGTt/geewNscIcK6hFzTeyHEh7
FPUyJrMJnFdXKjIMqhQpbe+LPsIwusQMSrqt8ITmqaZ0fXMVC1/Pb23fb8pLGTOCz5VV97EbJsYQ
7eQJs8rrqikqL7dxsntigpkjzsWNnF1NBK3OV8aQjncYVEFtlerOREfZLT+uSJIB65I+129E39vj
hY0FZO0AbNgdtsTyrLiZTlyRqxS9jQ2JLM27aTAwARsnbCK3M87ZFrpLFOR8vzgq3RJv2Ue2BpSe
k1YbmFcGytdKyZtr00Kf7eBwjbCupFSUYDKmN26rR/bnKTOL0dUbdI0OEktCWIPBLr5QspSwg1Tk
4ruYAYEBh7Rrvba17xmYKNLnwQxuwjpi9494NpbuBLfWbdQObSsm4kN5MapC+iYkFskGYXPlkZxm
Y7tckGe2saif1buaKgjPJFm0xrVQhv4ZMZqFS0AS1S3OKrVWuNBbY2yUZS3HRqEgKMyNx9TGbz8j
ZGgjScn4tY2rsNrE5NjkHwcdVw9XqnJcr+00jhafU03allqlPQZ9p1Pq8id0bBq1ko3i84DZoXpR
UjeQjRa7ygzXzW1iyY3sgDkvZpkUADewpLkWxMFEbQOzxPQxHBOZTC1FrmxXjiLtiszYtNzy0laS
bVumnY9jtNJKl5AK7aeYwG9zO4Rt4++NYMzjiyBIcr5jWOLbilV90DsiWrwURlKJcRwZKfhhzB2F
n6QqaeM7TMpklaIUwb5ulsWtfC/PixeqkvPBNmGZJncQndg5zCpPv8HCiVRHR62bMuGG+h6IQPox
N/xRW4QaSrjpp3HwIrMt433dpQXOIpZd37TlXJGYlc6+5fpaDL+WwTI+E+hu4F3ClQz/iMrPNbc1
h2wrY5iQXdpyFCb7yBzU8GbSY3nE0nKU9lPdRolTm0a0R0+tUGvG59LAQLCRP9t5qN9ShpTYbJOs
eEorO8HcHkO8cImDGK9jyqH3RESGlxouBqWTBjjnbyzCnjtWh2+0oCRdZeAgQgfcJFflZzs0g/gM
iLUCPanXLw5bMG8Jk+WSyMP++AjMx57cCVnuvNYspG2dVda1pJQwubu+v7fxILjNdO3BxHXuAi+b
ZNMVI9tM3lXELKjnYuOPr6q/fwwWPKTocQfgP6vr0JBj+KDNQ+/Vtpx7wdhTOETN8DEqZvPM3fv1
poAJARlQ7ay9nNQgDuEVTL03IK8dVbW5xXmwf+jmc3S940vx7z4BX3OxWXRtsMuPBxgjH4yXGos+
tZHJ7S7G4WJSzyVrrYv1y2f8zVoBRkBLsnpShaWqJHZGK02rBVfBqOkUUVQMKaG4bNLG9u+NQhqv
WtE9vn1PPr5CHboHWxXknCmEc/T6LVcVuP8pYzh4gaxKO+K2wwp6SSl2WBTWbhxXAqtnIXsBpX7X
SLXgDHbyynfUF6oxSoTFUnqtiqvsjhvcTPst91YH5/tk00T5dJnlrPu3u7q6Rv/dV/j6i4Mw6vE1
rFFKWq1GaQkWi5285/uKvZNyLClULWhcwCmsduR5ugL7xDyVSx8YQSa5k9UuBMWxuOgy8rryOTGf
3v5hr0wx3kPY5FG/gI+6/gZhUs/q0MeMQZvL2znAXrPHwurMijk8ff+9Lf/u/uHZRYWEQsE6T0jm
LpBYeTd4Wt3ml7mfiBsN47UNxUPfpYSaOAFGjjtuBVh4NmW9DWwl5qVetw9v93dZMic/ZHkxcXuX
0YSs8DIyKdomyPLBM6GIOKltSVdVmsiciH7r9aX0Pn+C3x1fuN+URbRFiLLaI4Ma0egwRaDTmDvj
351ofOii3HQ2jlFvd+10OiMOWEhh3AHQVq7pj+jZZGmUVbqmD/Otiu/vpwwnoW0MQaM78/55vS0b
YtHCXwbuP96ZiGSecG2xBi/WYMtWDab82GZHoKtm2396u1+KcvLN6BiFNeoxFujUicSt7YQcUNH1
pIaIE4c0KvFdVhbeoI35hukUZSCVnlRX6lVnjl0IkaAsnlQdP+GLqq8C7hqJZdyJGUMXjn0r2ei5
rFdk4NhY0YRpJuEZoeeZvrP6NAs5PIT8SDikEdyONhYnZyhgp0uOEgcgB45OgBFUgo7HTitwcVUn
okh8XETuLdxMt6Ft/x1q8H/pVbFMPFpB947YmiZQbRy3glpEqlubVmasny9VI1ecUtjtmYX9al8g
qjMDcDEmm+y4lcQMekOf49GbJ/sXXrrpBu5tfAYbOug4jxctJy2bxpLkyhNnXV2tOYlKigeTZw98
WqcKDW3bW4uLmkZOZwvy14DuE/BqkGOSaOS4LkFMqaNB5cl2aYlgamfEnKY79BfldZ9kbbVJcVzZ
SHOouiinfE+yjeGjXVuh6XQUGJlbmgpHFaIOlLypx8eEad5ED0EF7wgTcW7j1yCRvJPfnu2vrCwU
8wZiVsjFlEqWxfAHrtDPsxLWJUbz2Wh9wctZ2SJw/Rqj/zvT0CufTmUxcfQuEmSYescNqYMoiZby
R6Y72usyI/wGT59zrZzutwRFM9N5/UBet9fdGeRqNJqknrxhWXekN12aIrui0DQ7eqtevz12xzjQ
Yc5zmVkYh7g9LKETx10KslErp9KYPFZ0huO9hd1VY6lEP2DadYWrf+AlTR99PbT63/SN//nbsHcp
sf3HbeCEv/HlJ4a9N13z8j+efuZB8HJM4vj3T/jH/sH+gP0AOzlIFLf0RTz4m8UBtPgBMBNIYTHW
Ofg4/EPkkKwPeL8gXNfBVEHYD9YQ/zA57A/AoDxDBMU2fGIWked//a+jXbJZ/e8/mRPrGYSITzaQ
puIPzB6trBNFfb+1pqnqYaghPwKV8ocNUK7mdWA5jl4G03bO7e7MJrpe8odG7QVIBGFni1vBl5Qn
w9iaJ32f6eq0q6fkl1Gr4xaW/7kI99dbwrnHWgpR/NfxAmmKyfetStX3iilFnuiGL51mY9UZANX+
MQnufm/Ofw7ket3TJ+4F3LCWMh6n9/JL/tjGoinv5Q4xPCJRRdr2WS29aJntb7uqpmFFrc+cEa98
OIXSE48ljGs4KlYXkiTtGj3LZ2sPd2PcTLAAKAuparCNuFh89HVxQwSf9Om9neS9tHw2VHwI1dad
7HhTd2mV+PsiFCOBW2V0OZTEJqilJoO39H+7yxzN1j8Hdb1l4wilLCXlg+wV/+rVmY4gTeqnOKY9
1Rr35ZAXbp5E8plPd/JWWZrh+7FxQyLiHrEay6myWgn3P58MnRKw2JB+VVn1IiJ8AHDHGBXHsIJN
VU5ukPj1zRyUCdmIdfUxzXBg0+dZ7BBZDWf29tMJRRYski2kRMypkw9sk0xgKG0WXKoY8+4nmCEX
GDA0LlqMiKUS1+debKdrRecviF2cwVxw9NWqFE2kmD7ZkJclwpvC62WJEJqgSyCCy9bkGx/9dNLv
plZEL2aJ65QjGlsn0mEGarng3DZ4vqVj+sMnLA/7Lt+Sqk0T4ta9fXsSns58nXizRQyOuIWda/U7
oy6WKHam4SW2u8LttUG5lGPJgGnccQbOk4yswj6zY518DFtmr9WwFeFTkF6/miHkBpqSbo7GPpij
7102fKzr/hv2xr/C0D/nsrUc2n9e/njK0NYid8ESfMGcjneSKp/0sqMSsweTU+9Hyay8EKh5F80C
gik36S2CQ64WUmQSBnTWPupkzS3NY7OHTA6iFtPvuHlQ5UlX8I/aD1lbkkuHy7YxtZX39ke0T2Yb
YMpCoaKihBSZ4vZxM8RxmxhjKxBzhyi9VJk/6ab32WQdDFHrCx2FSunoei7KTVWX009o1XbghfVo
fCt1tfhmFc38JZWU7jqUxuwFsxwsJ0mOKvXNSOYsVpGNMHbE3OMdqlhZezmnhEBhBGzdmkQ5JK4d
mUCPRKqHnkjI3XQtI5FuEluVqq1t/2/2zmNJbiNd2/dy9piAN1uYqmq0YZNskiI3CEqk4JHwQOLq
z4Me/TGs6v67grM+WigUColZiXSfeU3l/Fmqs/0jbzT1k5SDaA6VoOfeD7r5RNjoHIWDTR7XQw9I
XxsL5+RIC53OxRS7QR9ucqe0HTdqHR0qLccGP42jDhQtu1Gs1MrvlmRIN78el/qxm9FJDuZ+Td/p
CxzQGTf7OkiMArOSBFnsEMh5awd6XuKfkVUrJe9qttK7UiyzF3fIflKHHRcEU9cN7+xEZINvge/6
G/d4XEKLSmCcY0rA8GFNXvHTEuUO9feyOadLVIwf6IG57c0ELSaH39w5YZEN6X3b6dp7zy6/it4+
ysQhp9bl1nzvXSf9cwEcdiOlawBNV/vODtEqpwk2Dbr6GQpE8tVKEGNBKtg0juVQrWg+JzUtPWLw
5EumW/OnZljng4e7WH4lVX95VnmI4RtREKB/C4zyfGcVWWYWWaV6N5jHrO9GsELRPOrKnZ0VvJFO
Z2lXWsYvtzID7m1pNBlB7F6WlNJV06dOd6H92AMasRnUabw1ikNlKuLKsXl9qGfMAIB64xKsacCv
0KT0ODVrS7tgwIezyug4moibX7nyXlyzJDDoJtuAE/Yiy2Vk2CFMR2DLAVXqFmszDOEOXUbP08yT
8X2j2vKE5dbnt28FfU+fz+8+EF347lE3hC9Gof187aji67S2KfRvKmDRTCzmMbWR/BOy4rLDZcVX
zUqP5m1qoHYhONsKMwstaM6P9L7qYDMn/XZOhvFo0m8LwSbnB6ttsMUcuilsXIwOVAu1bpzXxJXv
9Syf8OK3g+DasUFUv56Ber9EgEpJq3bDTyzWdyc6EmXcAZZ6iAZkwMu9/FIOtfeoWjXNPFTaY3t1
Po76WsV1uc5RWi/uScyF+F5AMYjrtGuj3iuqY7fhW+NM9hyZxVJGuO5lH4F5JpGeOzLyehgefa/X
Jzm01Zee4BPuF1HD2wvz8lHY3RBtmk0g0kFOXtzWKQn8Rtc4j7lh52hTOgnPxZPHt0d5ubsZBaU0
rEw8rDAui6ZEWM22OUYeI/sOQtMAlOZSRQ5La7CuRDvPoerFanFYwQsDi1fJny+eOWkuky4WpYjp
OWNtAPUs6kH53MKehU1iKnmkEvr5Xgttxh5ViJMl3lrKlhQHAmM1mDJMHRDAGiOi5TWyFHTmeHim
0EKiBLXlwYoWshs27dzSqx6UMIGGiXKWah+SAbVrcsMp6kpRHHWsMI5mhqGdo40DwpO69jPTum96
gUq+4vY40S3iatB7edSApMIRoDoN1omg77LGlLjgBpIFJ42+Udyf7KCqD+AoomUzt5k9sSFVusK9
2ia5r4mtRH/KdahANViafxS9g/jy26v/Ykn4RRSNyS44/SB9LpE3qp06pQaRLc6Q0DoUeWNHo0qj
Offmvyv8yCHuoD5cpbs/5fwB/w49HLWJRrigukXAKG+wiigiHInLSCqbdqI6MkUFVIVAx6ELBAOY
gCUrlbvSU5UIFe304CEKf1wbwqvN6RYfMZ8lomI+hF6ZYQ054CCQ4ikA7k5Rw6TDomEUeFSCQ7gW
f19ufojvdCQI+OAd01y0LlPVrhuSzDPQXoCusI75fFv3wgTUIOore58PenHNMhYvJEUqKkcwfe2L
KiaadYMj7DGLiyFvESTHnUPH3D1JAq+H63QUg4qQWmpAEAYqkznwRldL+dBgZYbIXIY0r488DjJm
ylQmy8nsF2lj06XTT8bnw7qrGhWar6rg1AwHEXgBgBDpoE1kOBLANeXzj57d1cVNZVsFvYE6tb9u
ZHa4OrQt9vCdpz5oFei5UPRZSb4+CfktKWo6c0icP2WNuzwt8AfIzIZyacJussST566I2LlNKb5S
H3axSrZsnDs0BF6bYDSK7gvu6BP/czNiPZZUyV2rO/mjm0vIVhsAa06n7G0LHqE077ErdAaqhHlh
4EMxm65vJirPXzat1lfgTbAYrLGf/bxYvOYAMKfzTTmUVZS5RknepI/u4w7P8buu6+9Woe2S0PaO
as+xuodcZXv3CNu39NcNaf+0S8husjOwXoNxX31J9aHxDirU7E9GaWL/t5hdd5MXTfp+U0xxl6ie
zHe9N+ebsBuQ/A6Rbulvsp1t8F9Ox33jLSIWEGw9f1ESOHN1TwfIW4X7qXaW9U9NVeYPNNTXvxWs
o791tnILwHwFgL+Zt+oE3IpUBHeEZSiQyxfiE5d2bgdGXaQGpXWzrkM5KtW7HhzqD7i+agnIJNX+
RhJ4+MltyTvHfm+WANKA8g3ZLOMdkT1KQIssYDSOlWrmvlnQ5wzXBg1wUCy998XV2uo7Hi1LRAtd
YMhjLeWA5Yc9327GoEjfVa1wxkoD2IAQfxdrhhXikLrLe6trBF4Yw+jW4QxLAs+VnO9frznczG3K
DPxy85y/1bB3wqY2GyM0UQn/qnVGfRJT64RJoe0r1qOeFWZSHe60vICnK4XAKS/TTaU+0DFLh6BY
Kdf5GTTlAda0PaL5XmSGGyTIfXyc1Bp3x6IBi+cPoCZWdkY2N2hHDxtbyqgp3Vu1djIGmYNgAnS6
QvPLdygxVhfvu1HDW1afnC3ma7kDWJWl/2yUVa4gAZ02U5RbsJuiQXJL9/Og/FHiHV4dRZJ0U9Al
w/xJKjYO3quBSKPRTynWeFQa2zCZHOu9O4nUnzslH5AVVNgcSl5JPGZyz/6SOMheYWArxX2fEUEX
upAzMBdXx9ahho6IsS+Gk36fpnh3wNoG+ax4rfFN55lIQ/w0yzwUY+PVAVC3rgkrdOs/9EadvSfh
Xb/myK1Wfs0G+Dklxn7gFtd+GjERXsjygBL7g5GuHzScVj7jGJV8xzOwveOS4Cs0lQCHJxDJafzF
kv2Xqu2Kj5hDydt009+T7mGdvm62hu1OpmARvJrlX7D2tchEZ+dvtlti4RhcQ4teRwXMSNEIeKuD
0vMJxipVjl6KgRECmUPxMy3s+m9n4LqKpKVNHyxvaD6tg2qi3Oipw0MOB/f7pozee8oFyJUsuaId
ZgRR/tIcW2HLg7iZ/KRvVjciWsSaqFQ8PBebQSpzqLogpSMla/QkdNMx+1MUzqQeSn37pOpV9xka
q/K4GbO+hRK48y1ZWwWipcSEfSB5/MOAt0n5rfYqLbKdWbnhihhEPNdL9j2z7elLl2Yde29yxms9
18vkipdjj/9gK5iAcJFpOQ/QHTluKcQ/ERt5XccEPUloy6kJdZOZYuWand4OCl4Zb+f07aVOgk90
y87H0/AKKHG8buPRpPa1lzui2lvowNoJ0hzNVbWMy+IL89vN8tCq4DXehdLOx6tqBzNlT7axYrg4
FmgFBq+bsz6aoBgiKcs6tNhOQQVCBKUB859m2P+1Vv6H9sfOP91xIP//3sq/ubH336upnH6lxv7y
P//TVtG9f1GesrA0fO6B7C3yf9oquvkvjQ7cXr1SPfJWYp9/+LH6v1BfRqUW9gDZBcys/9BjcULc
i+l0Qai0mugpGb/TVLkoKO/FWtr2bFuUn/di4WXbgbQtayyD51e2xXJr91p/7IRu3q4jLrqD1uAM
yhG/V8wOgfstl7fwtsxQc/Zala6UJySS/05tc/7rl4/5So/ifHM//6xdsJP6LoKK4H8uch6l6mZp
924Vt2UFlpR2QVyVWwsNbl3vc6CUB43tH7ZDukSABa+JHWr75fCfnGsfH30xNL0wj0YwiPLt+eGq
efF1TZm2uHTqHJcUCE4YVA2o95b9IcuW4ZAXA5r4grK/X+VjEli4dUfTmnSHNlma26oFHjR51RI1
ZCe+g+7CjZI39Q0SnOnd2x/rPB7/58fC3yMYZxG59M5/LAZgVMkcwSNMzdVvc5y+s9ZzQ1Np8ujt
oS7QQv8ei/sG2gm0bkBpF7fqaGLeVslsi1OkCUgKc3JEgpeP1VDtft60IZAuKx60Dvzryid54o9Y
7uHaXVOYPi/6/PNDgLfsCwS28BK1lY/ENZXiyBhfws9KW3uBZc/tsenQV0SCQLs17MW7kve9HBPa
Foi4naECbuPySfHyZiG7XOfYI5t4NIumwZxGNwKJTfV7Yxj0rymOGL9Vs9snyqDw0lQ05ih17+T6
X9t1Huw+/EP1OTaSWfXzTopT1Y8gOyd1u/KEnddO/j0UgD10TCltUfC+OHXesOXdhj8M+etUn1Sv
mQ6p4lyjvz0XzM8P1z4AeTPCnggQXS5duyqroYhVi2c9UW5LN9Nu1D4Xp7ZY05BQQd6N9lTezjqq
w9g95eG+st9HZLDDiQjly5BX7tGaEKSf53a4wWOpIVCBYOYiCXmoJuqa/lZlyZe39/7LY7ZXlVCz
pZ3Ny/vcJ/ilauY0GTrdbqtRIhutsFBch4Qb8OfkgRx7e6hXFoId9lxcNBBju4wlkGbaVGyktRiL
TBlKoE+HbDSuUchejkI3f2/rP88JHaDznWXpLdbyqaHGM03pqE81tA9aea2F/uoo9Jt5/1ARg3x1
PkqWa2pbpq4aOyW8Gtkh/EFL8hqJ89m66HxToRzJG7pjkOCQvWCpbZupJfOqxnY+YbfbymT7s57z
gq3VKu+AJbUThIVUKKcZu00rSid7ibql9+53pZdbREtcL7JH1fxZNs3a+lqjLmOobPmIzmRtEhCn
QJPgpqQCSaIJYjm91rEt/d2G+m6YR2mQpexYe9vYJWBWU50iw8vGGPnhyT2lJVliWG+T8ChVrdkW
aFJX3KCoS2clZZCf2tYYMl+tOwh23rZkkJD6DdY+uW16M+cyl0HdE09HHSE0+Ch7qA5Ws4lPPYo7
WHEOYJ4Ca2hxmnt7N7689ngK2YYawS0XrX1xAxWr3vfrPMh4S7S/jKKdnnQqKreF1kKWWRbls5lb
Y/D2mOfR9H4VOfT2XAAK+g59vXxniNy1apSTjGn0Nge18YZQgyOC6a4ERAge+ebt8V6ZI1rVqGQQ
WBn0FPdd/Ovh7tMkb0bmqJkClaZ2ke+zutXI30QZzDstRsO5/cokXzkadE65C6nDo6R7iZ40Wwrj
9VDIWB34lKBbkM3YZfzfntrLe4vwjr4IvREqaMzufGrkzOk8QJuIR9F3J9n3yVPe1lkg5Fh/fHuo
l1+RHgwrB8wVkr/9HG3+8hUtU/EmUSRdvLYeNnGosh0q+DTB4ljlfeGtxi1hsvJbWPF9qxBDgMoD
50GfiWmez4/qEpyT1ejjwenkyVoKEYyzNR211n3/9vReRoWklKjTMhYdJ1rP5yONmOniR9x3sa6T
3FOMxJ8TmsqMDzAMJFHTwOln6U9KAXsPjajCu7JhXp4KKqBg8kFpmc/A8PMfIEbhWpM6dXGOCK4v
cmUOQGaNEdbLzqHOveS/GA8Ng930h0cIPsX5eKlrYkoM+WyvvNenwam806iRVNZTPQfzpP4e/nZf
SvIdwh2EM+mtkZucj4cXrrVAeqrjbPFqbDOEuVOMnt5exZcfkUFYPkBkBB+4mJ8PstBnNyFZ1TFq
zqjBNZ32Dm0QJ5QEYjdstuVKzPzy/EFCBcVPkgdRG7jc+XhKNeXq7Cp1rI/rBKa5s/yqpwbViCz7
L4Zydvlk9JyZ4WVDuTT6VV2SpY4n2/ppbL1+Sjs7DWnvm8e3P+IriQARKWUHYB/UWEAyn8/KkwBb
NjPv4gWMzp+OnDMjwBuUGr2oEJlJYLeiuFaLXYpC6G4XTWyhP8kjy29J9tsiDs87h2Ox59KAzODd
n/+cLcnNtrCsNjYqJzmNDkVaOjdDSFEzP6RFm39r0GIIf/8j7GkXp2O333sBx0otxLo3Jh0vVtad
skWOQSra7aGSdv7FWytxpO+m3lH8scJq6cabtG+GW7xVrtGsX9nThDw7ef7fwKiLOxA7enCbWdHH
LXiOI8lr5Xeu9jmBz4a4UHu4Mu99cc+DLZIEJJj2hYewcdlxt/HQbA1CmZgkfUFWEovZoIUF/iMl
ohJ+rTQwUJulbd8byeZ9toqseKgLAvMrC/DKtE2Ke9wY7MWXma87DZvXVvkSL4Yz+Ytutbdq2sEo
zqbi3rHbv9+e9yvDoVhmkonR+8WI7OL+h8U2FumY4CbrCO+g2UgfZVZrHUd8IG9KekOPb4+330QX
n/n5wSY+5wp+IXhlNjh9yymdY4oNLk0uS8YAXYcr7+fLR5uNC7BQJYDej87FSUY1XRhoq87xiq0q
PQdvwMvGeVIGDTBDepto07WI5BlgcDExggTuQ3UvsXCRnJ/WwnRzPVfKObaLvINkRPNtJ+sF6gZp
3txK+zgmjgjnYRjuU0zpjkNSXtMJeLGYbBxgyYjQUcgwtEuDr0bFqzMXTLutenFbALOgp4pWR8IL
fOw75+tvriXDUcoDvwnkFoTHxQlFljEfm0yZ41QCnwAqWgcNjdsrB+LFjtlPA8BQpDEgfhLPnn9Y
VEGlpyhyjt1SYN5T0wUwve2aDeqLHfM8CgQjYDe7I8NFU3bMFmcSrjbHmpGax6XYpJ/iUYA9Am7B
nUlbQBjX7HVePji4m0AJpEq5y0hxHs6nVmTK1NVlv8SjofZ+amGpArZFf6/NdKz8KSmKIzadKtny
2uIP7fXv+nRRf2Yyo2f09lq+snVwz90VsXcUCOXi858ymsqSo1KywJZrPF92YKkdBV8XJGj7mw5R
lith2Cvfm3oTCiyMSBR/CYDAcbbLxp6tqshK/w5MWzx06zTdJAvuxTIX+U2zduOVSb4IWyxKoPCT
gIig6Ej2fj7JaUrmEXzHSqxZoIzW5vLG1tePddb2h7c/52sjcaXuNIJdlOWStKtqtTePRq/GGjrY
IJHIgpENqKJ2FMWVSV0Qo4kwmZXLsaeqDCKMe/x8VjSEJzRDK8oEEiAJtupGdpKbrh+AjJjHWZXG
k1tm+m0iLBW+smLsTUfzkdItEOGp106/M3UaOLh9YL7AxIGo03S42NS5tpijkWVZjJyAhi4IYteM
okdtiwP0fzMU1y5lW8jRlxzEcXNrMx3TLB7s3ME3xURUIcm+12N+zUrg4nr/Z1aEvPuLgh+Wc/Gi
lLlVmJ6oGUqBE5YPW/ZFNbLGr1XbDsxC18K1k1OcLNsJjwt5cqXX/9bT+f9+AggtylqwOy8leOqt
KNwFqYp4tUb3RNqhHkde7Svb6fy6fR6FkAuYNe8zV/olEB30Jh4p9ZLGk6P89Dp4saWetMe3F+6i
R/NylIvrptFXlPVSmfI5bfkVKYHyKLfBPMDzzCJsDudTodnprZ0aAB/z0Qg6zS5jmcg/7EX56GZ6
FXduvvzWU/PvX7XTS2mWkaxZl94N6qDW8+QKkDnt4B0QvmE/LU1/pfp9fvX9M8p+MqAeYbNxGWmm
1tjMwHiyWCNZO4hZTGHXfrC6B1S6zUOl2s6VJdXPb6PnEXeizw4lxZqTuP78hqAZN42NpeZxPqO7
iMPkEBoa6CKqdZW/ACo49lmt+dpqaWG1IimhGA3+hlqb328rTD0NR9QoY0afUPNOj9tCG19ptTnM
7cZCpAlNH3saioD3pYyyCjV4YF9IuGP9/s3O1/IKOeO1wwjHB+cQWKfUmi7jHLDamxg9N49lvmzR
sgEQnNyqDefKqw+TWminuq4bLDJT83421SHcaCy8e3sLv/ZNrd18A/w8nP5LIkTaKN2glRAhKqkt
JzQrXLSuwW0plkh/fyjHpXZAf2Hn4zwbk/5SgurGUoxFrhUxTkPaUbXWvwx7naK2z90rO+WVSZFm
7yVDdgvhuX6+UbpMm5ZJOkiTe1P3ULaN+i0HBOPX3njNAub5hf9PwPy8KaFN0iohdqRfa188W+vI
PStFUcSuINLwVzsZs7+wCUj+rBSjF3c1SLBAzd0cvRpQxIYP9rntwwE8mBbYntEgAMZOwFoVZSYH
MMsw8UPJJT/lS5fcNebaNWi2wxk86HravptHBY3tESiyGSwpDRu/txLE/7nLnT2xq94NII9q3+wB
kmIMtdYPW7L9kVQZkGWjcLsMc1WxfFXdGvfBQYfSgACLrD+nkED9HBkVQStrzB+TEqX9sFMJHqcR
1P3Q2iAJ1SaJ3KmsTm6mzjdzq3aftqo3HlwvNz+53TA4h2bwUK4t4JaYvpvXqIfbHio0M2SkPxIz
6z/3AxhNf9aSgT7lYGxGJFeeC1/pxsUOCqPCJwCRiayLDDBcrd/PxnznzQaldNuz+vG05rpbHlIU
bnRC9c34otuFCRvBKKwrj9V5PLmv7nP9F/rk7rcOmfJ8J0ks2F01XZpYmR2EgepBAlDa1c0VFWmv
2vjtjct7tythI41Ghf2y7IwYrkyLUqvjoRFLoBalGyWA22hXr9cYQi8fSIaCrwaReS8UPaPofzmN
9dZjo90C3Z0hJB56q0qPrWh+vH27PDscnp8O1PyQySDf2Uv4lxU2tJbshF5wHcvazSNN4/stlChB
oMuw0op3aT+ESwlWXdRCC2d1zh+EHrpgSAcQcmUxwYCYuuRKS8HaX4rLn0WqsrsNkbu8uIpGxPa7
VSmb2Gy6RA1hto6hU8/Nh2TNaxmkGWniQ6n1bh6mvTFtobqWHgDMCfEqwtcc2SalMf/oJ9wEjrbV
OCA7PR2QdWO0SnbQkM2E8Sp7HBOSVaBytsohAJXBBSFcpzU5TCbItXZcRiTlDGM+6uY8x6oY0zoU
igH+Etm4JHsCxVbdm/qaRl45qoCJm/3yqBdd/EjkNCawulBEOTZiVu77ckOvoK8sK9BrJJF9Rxv6
J9Oc5Z1Y3bUIZOEimZIOTTOgg5XomBKAQ1p9FT2zP0oB6XQ/5OirZKlSX2sbvRCkoBxlGDsXBMT8
3tu8CD3bfiEgtfs+XlEhOGSImKF6bSs3mSvGW6WD8GrglhAWQl/CcbPTO3Vup2MiOyWu+E9uZFUm
OJoo6hhRQ9UfMEcegz6z5nuylCJqQZoHNXKbH8wl8z4pC5Sdtzfzs53X+a6hEYQq19764hG7NBTW
9FJWRjEP8SoG69EiXP6Q89eNhxCt9TgrTRYtxqbYHyYzJ5z2GrsjglDS8lCUY3kgS9bR/kBZO2Pl
jdKGCorSRji2JgzpCrtmZTPNCLk5h7XDc77wtalsfiKLkRlf7G6QOlcc7IxQy4BQIjlD0nDlAnoZ
1FEJIReDLko2/+K8esPseKM7UKY2EhGlqO6fErXaaCYCOKWf2hxapCivxKvaa6MCqbJATSGIBbD6
/JbNnZkOX1U0seAT3RXzKo9LUruI4WnZ/ch9AT5wS8NNYFNSIjM+9+X4OA1dFSHamN7YmnB8B7Dz
naIaPahTDfG9wc6u9csvsEf7a0AVd1fkAQJG4e+50/3LnQlfUze2hNsMD5C2iZoeugO0FhmpfYVS
oETZyqz65qCttQmbVXWJODa6X4aQhxz0J+CfURysJNfDStjbYU48+1hwmE/2YpZXvuprH5WSFpq/
FGLpvF98VJfi2epBUgd7tKkB1D5kGXdZLNG0bqRX1RK2u2jd22dEe/lg8ol29g2KBBySy9wDfHhS
Y3ECI2SV7ZHlUJ6rhicXs7qjuVnuTWn2bYBNQPLZRArtmBRmjsqm0qeB2Y79QU9n7Q4x6SoYuRhD
dxHl8cpv3G+a83OM9gGFOKqMKBcACz3fbqJXtSpDdyfOeJBOStb3AYlqvivNb4GwzD5ET6lBC02s
+R+lbV6pLLzyiUxeRaBDu5rSi+g07bJ26NysjU0JZE3TKnm/lL1zi8564k9iu9YqfH7KL+dLSYV0
36NMhZng+XzH1TFX1aY3aerpgqYoKPMkWFptQVOR8OeTib0Q7a+0St7h8+Z9LrCXekQbVzwqFYV8
32iX+V4M0/Y9zTbtu6aVyRgM7Ln3GpaOf1GkytbAcgYkI43eVT7vLZdrhb2L8tDz2QPhRTuHWqND
c/Bi0WqUdMttwm/U0ArzaHYt6H9hrA9b47zrGq09Eckh8Fd7d602/sU0HAzD0sqOpmVor6S+r63g
r7/lIu23EI/fRoDZ3JILe6dyQZ9UNaKNTeoeASpdq+q+zGfYLUCynq3hKG1e5DMSRz9uTeYOblg7
NDzpsa7WU9hnYrzScniWx7vcLKTYVFGpEIGku3im8d/DFgjT1tiqSyPaRCfuJCjUYFBG2BVtMT8A
ap6iqqfipgzLxr/zGkhflhliLbQ8IONdHeplGYGGFFXkbvgP9fTpYJ+kaUxgYd0Tp1Qnp0LYbOM9
OI1GbkajhM7gT7aL3RfLWh0aHTneUlV+qHZV38zNln1u9LYNTLtcw2oyviLYnxxs/iloFne+8hle
RsfoJgDqg7nK0acPcn5kFLrcnZY4TdwOaBtB5uJTjLl3ePsmemVdLZaTCiMEOloP+6/45T0ZFWPJ
6s5r4m0oPUia0DXTruBrmk535dJ7bSisp/eVJQwn6D0fivdlUxalA3MPjfCkNukWMdIWTwkE/bdn
9crp2MWLyIyoZ4L/vDipKgTMGR8uEZto7p4sW0EDOG/hxSW8OW7ZqFdiltemBjyaUjjYP6D3xvnU
+h5859b3bewuOxTartdwTYmrpq0crrypNGv4wy6OB34Ezm6NasM8upRmoh7uJDUq8vt3LF1f1XL8
R+S8LRr0G73J/R4B66NZZl4VoIG7U3dVxX4A8wayjUfGu2lnz+4fjExpVZ96d4JsTtbVd5VY2GRi
sdenxGlrkqBalduNPnDlQtMtW+9+BCt0WjAO+jgv42D6mbDhXZlmctvIos8/5kPh/pAy6xq/5a/N
t+struUoPso+GVELrMf1T73QzJ+TxKwnhKuakPvrMxw8R/afCmEN69EbreojJXcAdHXZGvSQCXGV
FQlMVtBRvvS8rWMAJf5JL0pVC4wJKlSwPypP8KopcEjdXjf8ZyCs8EbAfllMe/hz692iOBDEq/Wx
0XNzOggUxk7eUKmFv6OHOgoZnY58MKI+9km1xeD4WM2Xg79pzfRBQKF5StLUH3XUD90x3Q7ZRnTg
C0WlcFHZLilyM7oLqAayrndjAeW5QPT61ijQ2vbrzYNTL5JagaVIcAtRaraXMXKgG6UHq0ys0dfa
hMJJq5dqUK6oBZNe1PoJ/XADbhNcQ9OnZTDezikadH7m5cnnvt8K04fnIf/UqgKVXWno+WEuF8cN
UJgVd5nbVNj4GFCqyLmK9UkRSTofKFumT70Lm84f56UabkqqK59SVHO/K5uCfPCcqSLozIzWKxrT
mxVkKK99KIp+BMetVGoeJIkwyoAnXc99sTXjw6IiyLuY8+bS8W9QKarM/tFLRfIkMbLEMKnSAEJW
MzLpXjK9s/uMFAl/ILf3W2DZ6FVPs5Hj2E0X0zc0WEIPGhHSFDT9YOPgU+sdYuVmrka1A//VnBL1
Vsh1vslbb8ujXKRFenTJgj7iqcmPGpfVRrJhNPFIzyfc4YOq65vUxx6zdIJmW0z3oPfIdvp2iypN
oNZiwutxTA9QiBUaiRLDpYm2PztgzFeWamiHHNxMjmwBL0zt+LlmofKbAjGeYJI1ys+1X4xPglXC
8hEUBAXiQls03ymEWkdp0q5JgIyz/sUVi/eTtn6ih+iv91ZgDC5enJuWGJQDUukVJ5mgPbMb9cW4
/EFTxanQ6MMVxjfHCyXxe9Q4Ul/QGP+A4VWGiMbi1Engdnb7lf7JQL+o7PBIbAVF1l06e/5u5iBU
C+koD3O/++nRg2kpPky26a9LP5uBk5tKdwIKi15QMZbqDzrWQBkcmZuLn5bO+Ji2ha0fJyT4+IXI
ot6vKZ5pPvTdRvPVKU0/Q6irwknv0vGoAn37A3nkpAwaqY00fLbV7r9jbFXjMuCoqcH+6fQ6aqmq
WVFZb1j5mnAzfTSq7EhHJ2ANBnTe0XVv1Fr6w1w5T9O0QapVRI+bYNObVbxqzTD7Eyq0ZmRr6QaB
tp6X+63u2gZXWMwlD16idvox1wkfx2FDQ9DcQP7A1LPRj81Sc/uoTlsWYcDGznYXfaIqiv9MbLlZ
ARtetD88bakOcMjX7oB497SgUSeTL7NVdNXBbWXxudJa+QFpCzOAS1ncrguBvF/Us5f6hpMhgYmw
xmKEBVjLD03qsHkqePrhjBfK+0ZLKJnOZja/lxBIESvXhWhOnpNsj5CbPbDEXHL8B1b+TVsa60Ou
Ztut1W81De0OzCHXQ2OvwU4iSu+1akke0cyrau5Cri5vGOfvYhHrwEpq1Nkye/WiweoM0/fUbKiO
6pYijN0iB3AnM4yCTgorl/pUCocGvfbMK3CqtTvvxlbL9sErVmcIvNXt67Cfrey7ouD+g3FmDsC4
KbvECh2y1KdV461BvtsjujiUdkappx0LrEcN8tflMLWb/iO1K2QJEp3tiJoasgXFmkAJfTsieKUM
iNwSW4ZS4O6z515gwLRR83rblB0BbKv7SVrB2oYRGmPQWtx0Sqn69uJwINLVOGhNwn5GsCKy50kL
ZsvFvA4mu1Eb8mRaiv3j7R/3WsSLvS6QjJ3yhaDyRXpkJUgs7EpZcboSPUH/9Np3yaBgxacthhXj
uFsdRzcvH8BWTGRoNcA5TGVDb9oAJTe2fg+nX/mrc/mQJnAvv54NcQ/fcuIt6ygWz0ndHqc+5euu
jf1BlPUKaJ2PLqKFIvCnLE2bIkA8zP3eKC29LPxKG8RVHfuut4X7w9z68gmZ9i47Tkmff5u6dXuH
pQyuq9MwsS/f/iCvxG87UphVgmvikK6cx1OV2rm702fLubYmvxNzKLA5CdKhv6uLzroSmO7R4EVA
ZZsU16G6Ufamq3c+Wjk5BaLvrogbZ+t9EEVwx2QZEQs/mtt2C/ji8e3p7X/giwEJu4GuGzaF9svk
zRkykU9lGyelVO91A+IpjO3xUBI5hvh+d5EGLDSW5Ub5ZhvtK7XnVwJIwDk7dJ7g0QB5dD5fZbbT
XFGqlvkuQ0galYWoKPdXYvBXYmLQGvh+erCTaaHva/xLZtE1xqpOSgLoUjT4zwzSRIORWoyLLeyV
7bJ/r8vvCbeNpiwqguj9XExomMyU5i9DIX634D/h2QcXFgA6CIB26Tx8Q81ZnJrSnK8s5Gs7x92v
lF3qA9LfxT4FKZzUDVL+MQ7bGsTrTMbDNqsRRuJwspXN+1/2zmw3bmRb06/S2PcscB4afRpoMiel
LFuyJNvyDeFBxXkmI0g+fX901dnHyUwoUef6bBQ2UFVwRXKKWOtf//C+Vq+CwJcwQMRGHiFSEJQh
UKy6DW8ohjITaXMsyzI8Vp3W7eIMI2Kh2mI3DEvctRy8u7Lp5qDP4LBgA9MsYsXyFkc8kqA93EOW
JFNEgUTTbERt95uJc2pL5lZ1xXLnwmuAoTGjJHjxC/V21cYieoZ5mVnNMWbgsRGNgXpdi/Qd2724
Ms2+MAj9Fay04LewB+Fgnr5yZk2YQ2wrHR2Hjrex0TROCpsk7l9ckWofJzudtQ36rDwMdNKKqW75
4DUMVaoaqzHM3W+tfkDMGVvOzSxtJdDMpv0eVt34Z5gMzsuQadUHYJJPcmzG76kp2S7qxHK+SGYW
dE5OCScdXzECNwA8iRLLx86+jRQmO1JY+OfUqXbU60j7AV6jkWs+uSkBH8OUfFGEdF8VkTCLMufx
paXnBwHsHR3UvVfAkUZ32hDuMaWYQpS15Usvjm6FqncfEXBEuW8nZtEw5Q3D1yQSOYYhU0VAYk6G
efKO9q7cCZPGIDAjUdwOmk0+OudD+U6PPPNxTubC8ucxqbdOwr3zra5ptJ0Vt+FNm0yUjHE4Vere
zRprIikkfmhlMt/jouQ8qkpP4eIw18UzocymazYvF84CMEOLvQpAiAHe6gUahzLUtBTy9hCHd+iP
yi+D6b4aAGs35og329tb8/nrisMjeDW6apgrZ8J5N63TLJ+c7khsLQsko4VUJE53o95ds5i/0Mgv
3AtoAksgHoTh1etK9i5RHFbUH71OhvuJz+Iw1XyPcWmGB7WlEabfEzcqKgQc5toqyCccwciWwGMB
b0A8WRvvO1naw5VM2Au1EqcgtRLMBTbVsxGM0MpJMBIdjnWRDY8in0qXdFcIPVuSypUbEYXdF9nP
RGaR3kU/XA/e8FpMDU+joplVeX1c4oyMAarn1kgVlZYEf6rt24/qAnkFwgO3DiwJHSxMudPPvVX1
SY3Utj+KMpU30iKqq2RyHZiq1ANRG9URK8x0Pwpqz7hHDK7I8PnKb1h2+NOjB9Ebow0sgJlhc6Se
/obII84tGrT+2BA++QlLkL4gQNBwv3eRrRBoT09BZpNuf0KHnjync+u4W3jM8T7N8KO7ckesZedf
/Rp8l5CiQEHHJGDNI24QrQ8ZGrUjwRTjs1X2nEI1Vi64QWr4vCRmT5s5Ggn9rjGbcC06NVP3MtMm
uakqMkGlLKEgWfoAaz7rPQCexLT/JLuERovdrreg77OE75IpZm/DJlaJ4slitWeojOLpyRyGJA9U
20wIyNbVnmbcckvfrCZ3M7qA+BDVsUcxjKL+qnZmjoSv1LrbpGQ+5S9Y8j3BdX3i68K4bbvFu6oQ
2NEtJjo1/jCu/lIb1thvWkOtn4Auza9q2MPsGJopE/Q++fipGQYcj/TRbEhxw3By8Hs4VMBF2Rx1
hxbny59KOCXt4e034bwU4GPxbHMxZue8WwvNwoZQAlFlwxGSd3tjMNnfGQJovlKTh0bBVEj25svb
S65Yz8tAYhngmGCAfATLUPv05evxdaFkH4Zjk0BiKNmIScEqUrmv1Tx90mb8a4Bc5zurAM2O3Ny9
xd4ZF764VL+8/VPOS0p+CZgkvtHMs7y12+oCYw0jMQ/HmZTGfcmkxLcdYgffXuX8KGA+j0ZqoagC
ga5Zx3OiwOiJWcXOFfNIElu78YoUJUJmwuaqB/NKQXFxPdK+mTgsiuu1ztQdga5gIw3HsrPGjWKO
88GwBUFOWqIfeGOvudJcuoucPot4EIIs1ezp84TEDmm7M4ejgH9Md+0lQWPk+u7tu3hxFUg3y+wR
QsQa8ieUD0zRiMVxkggqohpkETjkGk594SAF5V9UAAtHHBj+9FoYhRMcGNfiiEWut0u1qdvnIHV7
vP3tKxd04dNDWaot4lxCVVnsdKkaX5I07l1xbGdIlOgu1V3ProEzZeWCrSVYaNWWcqWuPX83mJcg
J4OSZRHouuaeUig73ZzK4agOWnkTeaVLVw0JIOz0chcD2FxpNc7vJ+uZ1EAehFeO5dX9jLo0Eh6x
30cqvJ8O7EI/thoSAgVhk//0/VgSH5gPL28h/enqWIUGB15vopvKhjDaTUqVk9GHUenbq/zanE7P
qr8I4CqSVcS567MqQiWbjt7IMnpS/0wEXsFm1E575sQY/ELT2A+F1rzvyiR7N7e28mDWNcbRSZp+
U6I02XWZpWwrNw+3qiGfh8I1NgYsFSLb43FX9SQjoh6Pb7JGDYMwBlYsRFZ9zAvmFldu2Pn7B/hA
G70Q9BaXldVnmwzCm0kxlUe36+z7yV5UviVhxjQU2RH/mGSnuNW1r/gcQ8A2AY4eWhfoIHhOnL70
wmzy1lRSeVQNDCc4iEk86PLBb5Pw2ahySGv5nO2cFB1DWOnXtMYX3kZaOp0txIF3fWZxagMidrZw
5VEZNJKR7MQAX61wu2yFd+VgvbgUvePi7wiRfM0SzFSDeAWzGI+dC0vFbLohQOVqI+OT18j0K/OR
5UClU12GeIvwbKFBnt5UyxQIBLN4PI4dhgrx2FmHbtSVja6SJjRScG0Mkj4xEp8VXwr9U94rA9FE
o609M0GpngjBBLKl9vgwLKTWUB1UZnKgcEOTP3mor7YGY57921/S8uWvPiQMYPDXV4knW5QGpz+6
FHo222kzIutK6TGNqvtIEu0tMr3oFgdwZAcI+g92HCVXJtQX3nvEZGSCsAGSw6auFiZrNQXQ7sdj
PFu4wfWTieqd0YC7fAE4bhgbtpdm8/bVXth3qXABE0y8fRaG6unV2hPEh7D21COuCNYhnkS2iTuX
vFGjcnYCd40r613oMjjHgFpQMhDsA152uiCk5b5Rigbf1qqdgpavAq5VUW4mm6mVXTAOGgdIYSWR
jzfkVdgfsSGsrnwD50f2wmbCDhzUDoev9Twb2F6h8WVLptlQt1qqkhyK7fyVc/QCCc4FkFz0LjQK
1JWrS/XIM5mzwpTHwphfEbN27/IMZlIGJW5TjXZzM1lyJ0dzOthuqd1GBRHDCJnJwMW6ZOeSPriv
hny6wY31o9Em6QfPjq6du+fbAVxefI75edB5eQFOH0dvh3POzHI8Qopd4r9o/2Zr+D4rSnvl9b60
End9ibVZACVr9Xq3+UhWaD6Mx9qlRALLNDdhhl1wVZn6lZfs0lJwnHmxVTqHM2k+mL8W9/mIC0eK
EXDhMt9rM/hnjk0H9Pb3c/4qLaghykQTmgIq7dUzzjkZ3bFXx+NsC0zIQiW7aTJgsrdXuXhBdKEL
w4xyfd2ZlJ2qzd3ksDWwRZJrwQBUScS4t3FF37691AUY5ZftBvZB1C3gsKvnJF0rN526mY8daIOo
XBWcpEgPWu3o7w2yYj+1nZxubXtSMD0UzTY1Q4yu48a800I9fnS1+FmgF/r59s+6cAfQvyLKpB1c
4nRW9RqHgJVxX1UwfuKkwwlkvyNLa6ew8pU7cOGRQqGn7mCbgsK6TvXo6qzpZCbVY9tG3kYvmOTg
xlldWeV840UM7eEjwAG5OIwsF/wbnt9LXGJqwjuQ6ZR14GAGiqG496rmJR6emXLNf+qsvuHWoWnh
TOV75zNcfec8t8qFocjXB2/kxtQac+M1cXcwqxDSVldD5XeK/jZO4pmZLV5ybz++c64462tLMj2i
Yi58rSiutUqZCTOfjsnU59tONNnBGef4pdFtYfhZYoYwNvDwhyphH5QiV/aKaU832Jia7/O0dTf5
NHQbxYndHWO26L1X92Iz9nGBwAvkO7TIaY6MUoEFmejB1EIl+HUF/+PB+a9f4WTskr890bN4s//3
4zU+sd7EJn6xJeSffev6//iX5/5B2jJxZTTAoDaofv/TedOz/qCFRJjhkh200Kt40f923rT+QLWK
CdFyQDKU5ED+t/Wm/oeKlSyzJNpduiZi0v6R8+bpxwYg/Cu5hjgZXnzOnrULntW68PkHz9oVRd/T
xGoRdARdl9Xj7FVWsYnn2ftZTW2K3KvGadOLBvEisDOY/B6vjz2TOXCRmlku0qfIrpYGAfq8i0Hw
fAWUWaU8/vVbuZFYAKkLu29dNcQOA706HMydUszi2bLws09HSmXVm7XXQQjlsfTa4ofHYPrDGOZR
EGU5soTCKa0N7tveCyYWKpihyCAGFymsa4wyX4t2buF2qKCHDCfzH7Phje9tqFsw0eIIYXs53Zlt
U2ytNuu2o+yRuGEn9fjbS3P/VxX9e3LX2XOgtWfqwJQNcZ2KefrppjcyHemaETmt3lQ/FJyEf+RW
Jl+Uste2AySIK/dydZZxL1nPQchK74HzF1Fvp+uFuqv0fTaa4NWcXsrCESEhSNugtpjxSVdj430a
FtbXOrfDjS5rojcaMieHOjceSjdr74BTrYNthtfcrU7PmL9/GMCDxktOvb8mrHd6zDMzpbkzu9zb
efkicom64korc3EVE74rRmQq9M3V7YZBNDD417jd2G58rmya+yjv0yuw3nJS/VfD9OtaGBVzkJGd
THmy9sGo+JiiSDYGY9KuO0qVyQ4ZMHYwjnC43n5/zi9oITAD5tEkMUhZC047j/CjCrOBnQSQgK3D
OBAr9uTp7VXOL2ihuiILodyC8bpW0JZSqz3RKgSbO2mPsE11jr2Cuwdi8PwK5nx2QYt7CDsgNTE+
XECVpy9oE0WZkludsmPQ5wQqRBKSFcjy/WcXxK5HS0k9Q52qLtrg1SpEHJGEtaQ9F/V0FwmwfVLa
y08REas3/3gpJBBAXQDoYBlr8IYkgiKD0ih3XUhUwBjhLowF46B+QWCCevXtxX6hdL+/elwY+DjV
IJYdzKrXbokFtu0x05JxZ3o5xFWlnetHyCBp6MeOFd7qQpqK7yVxutd6pW6PCtPgTyhagRYqI77v
cE/nrvdh/JqE0ntIi5ihNRFYkFAjtRoOiTVM1XaQeVsEuNuMsHkdTwZuN0sEreARI1aQc/0ZKjbG
+aGbd+/tWMmMjYb660+sAlGeKFbufDSkhuKic7OFvdVni4GSa0UPair0V4i79bw1nLx+qAolcRn6
jbruz3ZIKdg3TvKiYM94VEu3xw1uDOcns8c3KUDh2X+1RSyzYNLMsQcrJfA1mLGFehCJPrZBM/F+
BYVKpDhDeG/Yu2EzP7h6ov3I2iFNt7YjyDQQ5mh+5IvLSDYt2/JdJtTFvFDPyk+6Ktp3ttaWRAZM
VkvqSqc7nx1jDIcre/X6owM/pz4laHBpmNFjrQp8eFh6SriM3BUhbKxmRClkNgnVXppfc1s5BVqA
dJalFsI3GABsk7Xqb1LcuIx0U+6yRlNuRc/tCUUz70r4NPdq7Va3CnDux7ff1QvXRxW0OK4sA0UW
Pv0GmY43IxFs0448OXWbREMlSK0KtYMzgCdd+TAuLUZLsTiPUGyfoekobZmzmM64mwps8MZQjjfc
B8M3hvSa1O/CUrQwgAeAfNQsa3+eLiONMWoigpkUjzEsI+4XW47FAQDPuDJIX16B068dpIoWm5Eg
+DYsqNNbqEKzNsSSvKRYqdx4U+4da+nMB6y+9XeVqoyfvYEcC1+fUuXKtnbhlTHYPwleXxz/qFdP
l05FnTtuUY67tiD6Y2NUaZ0DXvXafe70DgzYuP8E6Y/omX/61vBNLKcRF84dXlPbGtdr9WoQ6q7s
ax3xvP3QzoDyRUb62dsrrU8iMCBAIMIUcHtFI7OuFWw3STI79OadPlg/u94Kd9gSZFdkVucvy9L/
oVcDyVhK8hVaQrVLjwvzZVctAUNNa/cHbyCGMFIH5+G/cT2/LbVqeKvOrqNkKtRdLYDUR3rf/Yiv
4JX34uIF2fxP4zHR1S7//rcunuqzcNXenXfzVDS+Ad9pn8cI2cLYrq7cuwsPCAiRaDKaKBr5NVLX
1Qp0qyZRd5hXGdsSJY5fm421efu2rSt0XoNlDgJKh1yYEmi1DXut0qsdG+dOT0lC8ZlEG2jgicP6
3jJz3BpA9cmVJS/cQ2bcIC181HzVa74oJ4yNEbOt7txOf4Za3t86efxVd/D3evvaLi0EHLhYY/OO
8/6tHlYxdVFWEqkC9js9iYnwMDH38X5y4mn79lKEpfEfO92slmkmNJZFN7WYqZ0uFto6Chxkfhxg
fR3eiGnIHQKgFe9prnVAPHqMIUQPPeBMYzQUZtuxbc3bStcab4M1jYY6Ijbyx9LJmLBhNIXbNS8F
CXHOjPgld7WO5KwiccmW0mwocqjb9Jz0kXxM9h7UNvCQYZEDL1jsD4zizMfF7lWhz8rTxMccc/4+
Wl3RbsSUqeW7ekiSJmgj2HJW0YcFFLncExu3IgBiY0aIdoMEmr5Cg4wHxIY0grb3s7qDoK7pUnxp
NbW37wRll47JoOa0+5CBYRN4ksSpLX79zW5WaqsOes75H8bYjfVBFbmJdTGT+c2kRBj05Qt7ALVg
Hr8vEWrMPskD/Pg4tu7cRsVpRdeqHzleTNOucpr680TsDmRYDGylb0JeMoPRi0cl6Doj+ZriIe7t
Qq8hJQ8M1/4GDZ/AAlzXwyfLArn1x7B1aj8aS1wJitIbA0gh8Xcm1GQ5zFqXQRvrsKlOE8eqtqKO
RvklxU/oU2fiLuu7am5aaTC3A04lmMLIAp6x3jl7T5UZgVLYjaUfUGMoBliDm43P2DaRDSvixk6p
iR0vfmDSFKE0oEUYb/Qiy40A8fDQ31vNFGe3QyMgljKQarWNjv39567zpOnLMArLXWkJY96WUyjT
fRSnqo67OSk/791JTcaApHG9/hYxRyBzshycVxkZRvazV8IqD8aCZKJ9mfRw8Y3uxtL5j2IjMxFK
BFHxvsQU8Fl2SfKSCoCGjqPnGdn+8EOlT038Gt/bO9Qr6rc2l3r0zulD+ZwWZXLr1W76SObBrPp6
Fg+kKJDF3G0RH/Fgwqml5Z4VJ0s3gytDdVvWs7Y4TpYzQgWpWL5ZepGyRZbSuz6/NPqqTiEJt4UW
5Tk6hyjrodqKgWFg6+T+nDjys93Kdg66KBl3eTEKCTHazoaDG5nDS6qk4dOgtQmjPHiApLxOHeFN
hyLSannkDie69J2kiM0AdTk5Ik2blpyvFFQ37tQnzv1cZ4nEXceoHe9bTUqVx3eTz+5nmBDRGHjU
IdwKqcQeKV4wc/3Kbha0OEkVZwvbiLTHuiDTJZg6aT61iJWS2W8dxbz1zJIBvapY7THJoWEEise3
/Hnqhac8DBocjK2Kj0nlN9Ls5DaKNVxmbUnawjbvOuU7KZtG9ehGlSW/j80A4biaytK7w2IK56c+
a5wdNQmk1ChL4q9MrQcFzW5hI0mxCvubZ8eyfekLozWvbOYrVfdSXFNGwO7BVxrcD7D3dN8zDZlm
86xPO0dHqo2hX/4yuOn0ru6kfu/AYXw/cY/MLUgWvIIwqu5xVTK2iV0R62cQZXt4eye+cGxiV4uD
LuNuEhHWm34xuApONNa8GxQ+8KZtXnpZ2Vealwun5skiy4/4rQxI6TgSw50pnjTaMaInGw2IcAyU
YZqfjDYrr93l5S6uTxeHdDbwCQ5sZ22GV3b13LSOPu+Qyra5r3uW1vkV8c5MyS0xL4lpFYbbg55H
z0ZRWm4w5SjIEP5DU0WNHNdZgEAzfww1NbvNlt3Yb81MecWfRLudG3qLoGncpr1B5la//Hok/wOl
/4uB9oI2/vaGniHpn1+7/n8dv4lvv8Pp//5zf+dYqe4fcL10pB6c6OBDFBd/51ip9h8Mkxd27DK9
BnP4N5quAKfT11Ij2nx3WJKblLzkDfbxf/xLcf6gYcLgBKwdd3m4ve4/wdNPX3c+bWa4jHKoEpdB
PijZ6eue1WZdxVXUH2A0dYEJHTNIPPmJUN5ujzA2vVJMndZty3L8+AXJpZaif1jzFO06aUfp6SwH
mgSNZGZspUsUwtZwzUNL+4W8/teXtWxbFL062LQKsmlpa26AYKA8VGwnB4ewI30LalaSd0tS4yeq
YuMnFCuVgPYo5pqtmuAsPxqa7mF0mG8HrQK9Ye+hG6Mc0XsiTBRM2e2Ni1zOCSwljMN3VZg3PzNi
B1X+gQZGRlMx/JhNBAIB4Y6m449wxKTvFUNSEHlUZT9zJXGYkYWC1MXaKXWb9af+T5NgpNhH8poR
HNZEaesn1IH6LoqUL7XrKT+mImwfNFQb4abKkGRCLcYM3XCrgThca07HvQJHwfX10PK+2W0WOYGD
9LEEtuOi6GHa4kHHk+kHSbD2EpkaWk/4AIrsMDiWIn1Ft7DuSUctL/ZxXc3eRhEzGzjsHMXbjZY+
14c8leGrVWr95zb18IPQOkWEwdiqaMRLt4hekfrold8VZfyVGM42usO4Oe2PVRqV7jEG2BRB7xmQ
sEpSzn3ZITfHIa4e3he2En7qPHtM/QpdcOMLwmjUraWn/SukbLvwZdUb5gZcK2Ji3AgMLDroYz0F
ONrlG0/rKtufJGc80ZLK+CppQrCn6eRQ7mDpQRXwzNB4VyP8+SV3bgyCanoXaHAuitRPncZ5TNrU
LH0vC1N4K0laT77jIhj1Z6cev1mO1H4mvWs8cgY5+AHiwn2QRZT+MLKQzE8yOA3Uh5mpiyDV2ubZ
VEIm+5FQci/Q2loXh8Ka65uinHR3o6GE+RG1LdYk5ZBZn5RcGC8xgdPZriNXNd2X6A++U/fJPwkE
ae9chIdIYgfDM3xLnShYzcyym62aGcJAaWyIJwieJgXmrElew5wkyi3NCtLg2IARQi66LKiD0ypO
fiUwhRvaU9n6nZsXw3LYOHdkTpkweaexf9BzdMvb0m3dr7WRJplPtW0gcu1Md9zoU20S2F1m1ugP
hsUX1SnW8OSok6tss9bmxfbUBqgYn3cKnS6rLOtbmRqFJNexaqw/VTVP1OfM1crqlVQT+VrOtfXR
Riv8CjMjiW9Sulb9pgyHBMW+VKf7RYtU3Vphjcg5V6TzHcl/HvqdraKLRl2fNJ+JaEn7+8y04+wv
8OF/TjhOuCWV680T7j2S6Ph/PQ75N86s5PSY+/sP/2dco0MoI7ssg06EOwD4/z7mdOMPTWP2CXd7
KScXYP/fQ2MIhcR7wFbiJPjVV/99yKl/ACwBH5DkyP+DIXMQ/9//82P839Frdf/XFt+t/v73WeVf
47H/Ogpwo3WW0EeMT2CKcSasrSIRWxYRkItxAwUteh6VsPipk/9k+Sq9yLPgwNolUTS/dCT9YqWR
VYYTZL1mEx6fGfTsjZ1PqIJN/hjWA9nGanUifGWeGR9EvWgGSRS18m2C7V9NXd7kdxN8pu+LQPJD
Iiw5Ucuhkd9D3cC1apD2+yEJ8xd1JEAJfUnYhjviGbVXak7GChpm2x9gSeD4jD6ke+o8rfzQFLP8
rvTJ4Pr8vVcf6lDEfLzIsfrATKJm9iFxVu0G2pF5aCM1xWqi1tqPVtbMP+EA6vWB4Wz2IELRDnsj
D7t+YymMEu+7xFDHIKkYoG/zPLYtv0tQ1qGScUofAgbEUgU1QRIoeW5rR03D669LU5tuj6HO8yhl
LvEltap7YSsSI4C6x7vEnAQiQKtGizB2boR63VJmJ/BQBzzRurT3CcRQy2/0tvoxtWZqHvAXst87
HU07+Buma77+hVsr9bZl88pNgnUjO9bvOuxEMDy38/LBS+tSbLLOouWLc/7EMLsYH5R5eptZefdj
6BTjLiEzgXNgzgwrSMneps4hGzr3RddHBL/r0TztQpLQ2dDQ0N7YTex9sAZP/UwXOX/Hk29eTtAR
C2MzJbbLlbJJ8LBPu5/OlGkYxSSz8aW0J5N2GLwh3rX1nKeQnGW0Gydiv5HrAMik+lzFdzNxyj3H
+9xoviEq7CFsvQnLoJUiqTee3skNJiEYz9rSzp+qwXG/NH1oOwhZEWq2s6PpPn+gTjd2UZGXFE5O
U/h5McX3QI3im1o53te5HdNu60XaHGF+heYxoOsUP9wcW5FAA3pPfCWeoP/LpFXfK0VmPsV5qUfE
7HQ1/iq2VMObvhYGscalo90LORffLCQ1X5Dd4kVRzyY9ylDXIZ4qKkEBfe/hwoI9IeE1ZZzVAR+1
9o75ruUFVacAeKmC9PhAkjCjEk49S4yb+OlHPqQqxMG9J8NwHuqd4CN98WYnvDGNqSnIhdHrr6Ml
tO4fVaKYrYFPMnJkfsPQcTEkPi18cVYacpoltOSaMu0iciwCaQj9WBvmNdnACj/8aymSUWko+AuX
7NOlRvqMwkvc+Riqbu1nQnlqTflANH3v97H1VW/n3W9tyN/73+/73WlR/9e1YQ+AjzOcBLDL5d//
1sPqSYOPSW/Nx7ywR5/4LVyQxtjB6Sb/xDjp8e3VVm35cnn2L8slJt9LwMRy+b+t1jZWbTsZLGvc
AqqN2Sph0Cf9NSrf0oj8voODMCJvQrxHpqdGX7S6iQoaEOSmeDuB+1Y/rUozId7OYj82YX7A48H4
kgNz7/pqSq7cTU7Es5UxP2AqwGkELrtqkXojbArLQU9gamnDVjZ3G73plmA9sEu3cKr7bjQcyhEj
+WAl8bVQy9OWaXmYkKz/0nLSqHGMrW5vPtbUO1Ics75Ut5g8KUEShapfhki2336S5y8qs0sWg+ps
E+u39iEbk6rX9aHsj5B7TVJsEnLo6rrcNzWsPSsrjV3tjNmV2/uLJn76ZBcqIeMqCF0cz2ttl0dw
e5wIbThS6afsxzQoLptiVX0OKxfXggJPve+hnIZPvRoLZUHU5RPWZnmyiU1ZIOdLTXNgTh9O2HoJ
I54pVXUg9dLppbczywzrJ0jaCNn1DAeswpIfZF97n5pI0owZvTENfh1qj0OfmQe8noYPRTQUWDnZ
2MT4E14/9w2y0de3b/b5R8p+TEAkew8zDBzeT5+rNE0p9REpcRdO5Q1D3vwmEQMe4qlbIWrO2ysb
3qX1INkvXioLtLFWi1iiStJORxKJv1AVDEQEv5PkyW+iiH3fnAbtigzs/L3lk0GBszgcMChfW09k
AJ0lhlxk6ozuPcCDfYeRs/485am7f/tOnm9AYP5QRpzFRRPL/tWdVMOior6wUaYPRPnhHJQHkQ2Q
//YqS2W82gdYBjMN6ltWgYd2+sD0Ug+NGgrDEZKJu0N9FQcN764fKe64nfGXvxGF/XFkBrHve9hG
vEnTbUgV6aNoRgbR9q+D13V+IhCBxEn0PGvRM/01VkLIKK58ypd+7CI9IWIC/Qs35vTHFqE1j2CZ
HfHH7bSrY/zscCdrfdVu6CTD8mdLrN6NA2YQSBH+M5L7smeBTFG2M4+ysKlZv9uJXaRwLybvmIs5
O+I4YQeNpQx7u7eKK4/l/OEvmCn8O6AyVlvDp/pc9B0ePu5RzckdjdouBTWpw93bD//8diIugUa/
sK4Qbq5JA7zktLfsS0SYDdGu8Tr3BkZZdUjHLNx1nciezdHwjl5RJLt6sq+54p4ffqinaa0WGBFc
fu2iOBel6MFsnGOD/97dNNjvmlpEN8CE847ihnmc0LQPEFuvPcjzTcOEWYP1NzxPvuZfDNffznY9
7KnG59Q9mk7+JW7Geq/NaYYzLe1QF6nXKqULD5PzFSUbzDaSXdcGjvYIdGXiwHBUEvxNhwixfUff
eGUnXJlKLa/nYgOAcA7aLwbMa8J+WddI4WdFP+qG9GaGrionAhB8EWiy4LBQhaEOG9eULta5ZEV5
3hi/cr4zfYwsbXoxsk72N5yUMLWQiRZPrinKCQtuzb2fBxmlm7oZw8cQ/9AhAA/UHZi6ef8tbxrU
y8w2MsKcIwEeNrRD+FkmjY2/ljsOysHySgfP7P4ujzjUggifFGMX0S1k21BTbNWfAVSwT4H4gdsi
PVx85XtaWVwsN2exendpT9EULrqu050DVBpTi9LSjnKs3WMZy0YEcFz/ZBAHpZEm1nhEU4wbjpjZ
9/2hl5LNTcExDce/xiWRwizEMQdWRfQ2p+ENdg/lNarS+Qex+HzCOoEQxR63zr4i+a5vLeLdj7mW
JLavuWHkHuo5wgQGsHH67I6OMwcuA9phI+dxFP+MzMMRqjL9BMmmuOazXEvfFKonYiP7FGF1Pu6h
Aia7KscQjRCY5spSvyrbk/pouUbUs1BqFtbImlQxmYRqZaB7RyaZ3gt5nR4xDGpzwGkifR2GuNj1
2OdsRRnq7/BT+Bx7DfkNKYqQVMvmxxBbzSsf0NnRbizse6YPfKvY8K49q2H/gyPMMsP7v04Omlpy
2OV19aTl1hWe2NmGsKyEftjzeCGhXiz//rf9p4WZoIw47x1hVBH9YGHjkCbutUymS9cDFWBx0Vm8
BdaDRUJuLCj4YXKEE+ps7LTW7ypdzIGh5/Ld2wfJpQuiFYR5hp0BeO3yU367IDDv3JA2iTQwg+aN
wjYRKIy0/xvvzBIvi/KJTFu0yKv71pU4hqigqUdzVNptkWvMSxUVJBnMHmFi6Gxmq8ve5XVf73PP
qnbtFNlMQYps5xmRc8COz73yKM+OUB4lHn68xYjnqfRX5VPpirz04BYc8f5wH/AcMbf54liXZX28
6Scb13NHafaqmnRbVyEP5+0bv7IEYV9j/aUW4oVCE8zfn955K9UbeCgyOWqT6JjGOOU74h6qPdy2
9tDOHulxQyJgG4v0sTWKeKM70t6m2PRu3v4lF14BiseFJQ5ZQj+zRlMtMZlaZqbHQleKXQgPLMAy
5hrd8Ozkphfnv41ex6EuxoH59HK92a1mC7OZY9dgt+PZONcjF898rcJXNyTG7sq5cd7GLQtaiwAZ
QuBivHK6IGl82QDzPTvGrpIFKkOPoOy2aX9bVn2xx8wp2ke1/NMo1W7Xl4VN5pup+bR+7sGzRb4t
hjYMqN+Su3QiJlYa9p+ZNIc7mYT2Mc2AonJmfYwypuQdmsHab4ZRHLQqy2+1yZs2kZvmexwXv6sm
TkNtmWhXVK+X7ijyIx0wGHmtsc5KdvDXdw1F1kdtSMPtPJt5IEcqLrfTSJWp+/JKA7XmX/DGQjOm
7ONdoaCmDDu9o9Uk6q5vanLTc2Bku0nB1cKkbtAB1WUbQUuooluUAnYRyJhJMxOiFH/hMZfxPWD2
IPaRUaMSevv1Pd8sEYZgKUjLpnMordPcRa1bg4tj9tEQ1rzhsf9UqaeCWBBx9fZK5zsGK3Gv2SlR
5p7xkSOIbZpb9s1RdF54B5v4p1n3+R4rE9xt2iLfNQzkNmSOeAfLmZMrO/WF64SsSxWE7yhGn/ry
637bqWNREyST9NXR0eZxDyOpC5pxYjbZXOeAnJUzfC6Y8uFxipgajdxquw4zNfS0EFd2OIzeRiY1
Jh5hLD4KYprR7zvmserH/kPVhBoupbLdKQ2sjq5qlIOtQe2drQToNLO894mR6XtpxuaHMimGWy4s
+/H2UzkDiZbfCuWeAuz/M3cezXEjbZ7/Kht7HvTCm4jdC8qRBK0oUZQuCEktwbtEwn76+YHd77wq
sIY17NNG9EVNsrKQSPOYv9EIEdfEHcRRQld4bYV+R0ytP5TTta1O073TTOW9PefavWZX/ZlBX2h9
x0EQEiLwzBCeg8xMdHv8NiKOiKwM2/RKS6sWIQk6KvgdGDs9jn5GrlCJuHttOw/tZ5MMvdf5x0SX
8ICaZ3kT6SI8KLozfXKVLtnqMja3Kqn4rpmqwq/NivcLI+Ob3tbGIfFK+aHUtNl3erA/yLqZN004
oGxcD9pF2QGAQk49pinqSrydinEXsfcvc4qru7AgY9Ere9qOuWlexzo+Ul7f1ofZGPt3XyMUOxbC
2YLYh1hpHM/IZLelMfSugoltn2zSCJsrLv1z7havLyuQ6pQRGAMRN2j4x6M0k+5J8KHh5dxE8b3d
jih7ZOnj20vq1CBkth6AJeDxlOWPB8n0WVoN2pOXrFnMJaZcwpvGGPntUV5vaBqeqNEg5kgQAC5+
NYqRObFulhEVf7Cj8yiBJoA82MQWdrUvQ72raXxX/ywfpfj5U958q//v8qc/qnoSSRTLl9blv/91
k/wQVVv9kuvfOvojGp5/j78AkY7+sSspqE8P3U8xffjZdvlfA9ArXX7zf/rD//Xz5VM+TvXP//e/
v/1ZJOU2aaVIfsjf+75g7+Dq0a39be5PA6Puv9Xdt//mT/9uGhvWH9RAOYMoMnCdLCXCv7FRhvYH
1RaKwoQvIIFdtvvfTWNF/QOE9CIJDTKROjXnzb+xUSZ9Y9bRQs6BFoRhpvOetvHxskQygHI0PJFF
nJWAHaGd4wVTEnRo+C7SWvTQ87+ctCQcD4PMztXqXo9DgAb4jwdmRILk1Tidq2gzUl1BD5/2++RM
3sHV0vCc6+7xdcrjEP1SOlLpISxyzmsYe2rhuTHXRRsUESgsSGCNsoNErWEqWtFObNDH25t6ChhL
tOoTbgPv9gKhzL0MjTYlmt72upOBAICHwuvUBuikD9tuTKdHfIuaIJ515fNv6+1EB+y1YAu0gMXn
hArGwi91VvQU3NsbvcuNPkAPtCRVnvvrBEuNHQyFYau5ArWWbEpuW1ytLkgosQHO9fC2mzBfslKn
u+ysbnjuplhsdEwb/Andh4C2efXx7e/56tUv7AWyeoBqpJ0wT45ffWg5lSwx+QiEnta3CeY7fqbW
4xlz1+PI9eXNL+VRCuTcoUuZfDWKizC/Lcw+KAygaBtsFLmXcI4rPrizYrpkB4l2zi1zVbb4a1CC
twURwh5/9WhInuaaSucqMI3Wu5nteLzHN9S87tXRvAFQLR/G0bIvmwF4G+34aOvVQgCUD4tDYpj5
NXjb91WN/v5K6MRhREMFkKrK8TwMdVErolu+UoMsa6615UXfa+Mht0Bh9IYWfynbBVOrT32ye/tF
Ly/y3/HL30MvZWriJlKH9dpvnEoz0NYcgDERtJm6SJ4EUuoHSzTn1F+XY+n1UBDr4DJxna5r1ers
SBuQ4xB0ob0kYWY3XtMzwzvZxktsZ7etttGS2T4Top1Yytit0jukIKsvzdLjyY3gQc6L3EqAVrvx
TS+lGcAdn7Zvz+NxpPzXPKI6BXWc6GdRfjoexS1HO/J6ZQgwDH/p2KtfF2sfbWP1iq5dWX2ePcVG
ksf7Qknr+fD26KfeIshc4ESwosESraKhXB/reDTDIYiiqdiOjmz2dTg8D7M8CwtfPmr9FkHk0lBf
OviAB44fNDLyqEjSbAxmNQ5/KrFlPMBEHrYIL/8CuVl/66MJU+h08vJnIad68KdYqkGeTd1z3qnJ
vTA7eUYe4MQNgoGqCVQZ6t8SBhx/p8xTe/w18jGIKN1fgE1X9snEph0wc38uvdT6KuuJxmlXVNUP
J9P1zT+Yfi5IgM9wXLmWj8en1qumtpOOgY0B4Hcyn2nfmmbtD0PUnlODOvmsCBQR9dLHQg7qeCxG
AVOflGMg9S7dpGj7oucryviik171MJZOf5vLUmzc1KgOVV3L/dvPemqh0xkGJg0+hRLAKibWrLno
ZTUw1xTg8QfgWJRFlV2K6bvZId8IdhMDYm4+fT6Tdq8anS97DHYFgThOrZQO149eDwV67bCRAvxy
q4c4HaN97UnzWXqi3CW9kX/CsDaGD7bI6Ee51915hRPflKhf/3LTrjxE4awggiHK+4je2EOMLPnG
muro29C6yWVchu8L7f/+xsu3XfgqpKerlzWRn80tBEcii7TeN/3cbQ0l+dFbYXfx7tfCntRJfZck
gnjmeFkksR7OhZOMAUqx06WSmAB3m7baF2LUbsuw764iS9F3yCmcg6GcOF9JvwDaMDadzvUzVl6q
GqlajEHS1f1uNGS677JQnNniJ0446i1E3RxvMFLWXXsh+qImKBmDppb1rtSq8k463bCjxZCciUpO
RAj6Iia0qANxviH+cDyXSorOu1JGY6BO/MZmqXc1Bx1QIEglXUtvxiJThg2FEAEeMJ6wWjPGcszg
nxXJ96iys3KjsxAvxzwblDOb4PVsc8xzyC1wLXSG1t8tLdvC8yiWB0rPNquzvL1onCZ592o6HmUJ
3H6rMdWICuIfHA3BqIrvmFI/da592Q4jPm5J6qPP6odm9+ntFfz6DesQj2noQsSg97k+RF0Ydn2H
BVTQOYXzVIOc+mpm6YIkdMPx5z8YC4UEmroAQVDiPn4+LRJEVn3DWJmJZbo5jDsFxizlSuCC/2Qo
GBZwS0gmX1TLfptKlNtzlCB4rDyUysWUpPkFXORyP7puc+YaOrE2NOCLKluEajfCVsdPRfIyjUU8
DIGWxCD2pSiu8pxS7NsP9DqM4z3RjCLv5KCBQnQ8ijtNrZGr4xBIJ232OQxuL76rVfTSEZ/Ao6u0
zpkSn34uZDvYlJT41toyttIAfpZMoRy40xLDVa6rvknPlNFPrj/weyAF6XSzFI+fi4WADp8zD4Ho
EmvXK7Bmi6F2N6VRnitVn3qgpcPiQEtdGv6r5QdKzo1NYNOBpM/uT9ao7prFdfbtF/U6u6IeibvO
UqF+KdcfP1BBClqXlTYEDdavoWJJH6/LbNNi7OcXHRndPxiOPgvNLKp/GJMeD6eVg9HZBXddMqTu
TSe1Afyh7vzqVU25yJCXOTPeqUl0ETHDipnFrq/7dk5lJ2mR9WOAF1sR+nUxQ79NsB4+M43a8uKP
I16dATQdJ1RQGWSrxw9m4O1m1LUyBUnENevH+lwCRc4z89Jtyai2OMMMLQQdBy/52kbyeyFpSZVy
BbfC+7f4AvOiBASHDNLe6mAG/gd5O+vVoM1GwF1h80wV3joT4p3YCS+eZtiVAoCkJXj8wLhOTnrn
CDUwaw3PNRtJEJ3E8NJsXPw93141r8NZGttIjxA48DJ5k8djYWOjR1kk+gBpkHw/0uPO/MzFPwLJ
VntxukoAcVvwm9NESb5MwnofYmIJ0Y6/wOph87LTwhImedA2vYn6tpICf1fGe0Wrxsu3n/XEij16
1uXnv10FVV9EtD0k5Q48V7YQKgB5Qpc7M6OnRyEVIhjjyllTSqxQzqEAlxtoVtpfSqPJbpD1KN8f
IfAs/x5ltRDnyYV5JibqWC5gpJp1uVg1c7C0gF3LWPuWdqnnt/LdzgG8LnDxKAuh8wtrcxVRGwrR
gBlTmDIVA6qBbsfb0NbC+zqqop+K2kN2E8376zMMSqvhZYVSel09bIyS4dS7FO28QubP0JzLwEx7
eZ+GdrwHGdNugORG93OovNuLa3lc2pkcb4AlX2mlqC4maSLncTEF6S+jqH92+5rKIMTSMyfLC/h+
dcwBNCGh5J6l2ruWrBrARpZmQiUoRbr9oCcwH3xN5OqVUXjudqEpbfrSaIMhN9tDUpUgmN3YO6QL
KxStDbnTIs/d4WiC7IImnX04i3dCjv7arNTJuDRRH1tit+MdhGMnojdmPAQKWQAkn6K4QaBmX+Ny
tfWkEW1d7u5tNUf1PsdZJhimUL9yZxOZOEUqu9nO6o9v7+lTZ6VFOZEaKf1RqADH30hrC0sTndoH
aW1FB8VN40/4lU5XM1IIZ97QicCLZ0f1jqOfovx6FSI05BY1RKzAmSnF7pOxKCo/NSPQs64ljRsV
tuqwSXEOOxMZnRqYm48cD0gbMJXVudWALjZhFBHCxk6ebe26a64tgSIIVj+2t4mGbNYuihqpizNz
+6IItV6TFNS4g2B5Ut1a7XZzKrKWN6oEc1tR2PKaMR9Rt8BvxQmRf8y6OH/SC+zB/REMjQmaPk8u
wR1NV8pcGcWGIpR3oUUwfQ9pb3XdxvWi2d7jXYQUhN6NmN6QYfR/ehg389vCteE3jYPWbtJ60RLh
Ao/7zYTe3hNoVk31u4l74QrVHGxRI9PKtS2yXHG0yQARQZGerfBXivLInzpRPy69sZ08jxZGXBu4
1ojZ1OkEqGhQFB0HWDO9aynBA1Gb2k0bt/xWOarel7lNUgilWhE/apMAtKnFZjsiZcU5sHFqS59g
AHTQZrw2Qb6jznWR0hxI7frGoETydcxi6zC+KMuiTjp8zbvCRvceJe7npujr6YEcUvnuRXotdzVa
xpcpcuIZsBXXTX1aXMmtmxR6voNui7ZgneGPsve0vsdzMu+qr9CtW6yJ5wZ8Y9MkIBvLum1t30z1
0Nz2qYk9NXRFPssc3PaSj9V/uVmP5VM2CANNGzFl0N27KnyoEu5ePzR06zqbe/fGjoVX7/Jo7D7E
wxR9NQGLo0XVZupDCg3b9LUiRQMrzbpU33R4EsZ+TGf1IqnSMtmil1K6Gw9RwdwPS9e+ns0QN99u
KI3ooJqxMK41u23+VNSk+VQYjQHqvE+7R6D1rnnV0Rd4GsYctYFZqJV2q1PfPLhlQpHBoXqoEuHl
WJ/DRuylbyFJ81wWmi79gVtY20xl4U4XvTQnzhrZgcHnj3JrY1tt+6uwJUUCUYERYqta3Y1Gpcbc
yE7Vqh0wO9j1cT4b/a6pOyPb1aFTMVt67NgXNH2mh9mseryLpZOB/Zsz6WxxFXQ/NShrxxdGBGG5
QJomgjOfJlc0KuCP4l+i/uJywSk0tiKkrzVFC59Uu8swWtbw3kIJRUvnm8Ke8iejl7T2ymHu4OXb
8A35sPImHEuVUdt2DDrod5/a0TE/4xSh6vtcnYyf3iwSLNInFuomjSvN3ujKZH4tMen+7Io4CX3d
rMqdqhj1kkpp7UUbAjreAU/FpjiWnnUXT54To55vwlqPPSO3/XawNWVbj/b0lJhz92uuqenCc635
PUcZIC3EwjXlNhJd/zlWSHexKo6MRyPKm8t+0BU0KpFAnNGB4Yv7eab1WBc3bfIZ2SjkcyKJA8u2
npPou+ht54oXHP9qlEnq3OGWWz1imx7DoE2lyHeKZvXculPWxltsuGbvceaLPC7goHiDVal71YoB
y9+hFg0kTV6Kuh9HisA7T7ZG6TtaOMY7K7eVgtozgQKLIgdeKWJP6lu6nq7hY9M7fzZU2rcbwEtu
sTVNeru7jIrLj1SNzXgjnd4SG6c1J2ujlw2qlRIe5bRLFL38gl28MkA0jeSDjXuNtSmHrrW2nT73
W6D/TbXRMV7EvT7TBEmZbow+fGTb9WsY9fkWhEyHfTeMx61WmfXHLhyZy0w434mqlBIuJV6XPguF
c1atYo4AM9dbX0Ui8N60YQj5Khaan2Y3AnLdgD2uOd3KaaFVht21NoaR4iNuELcby+7E4vcjtEdH
aRsohugO5VvkUbNf+pxYGuS83lwUkxvvuayiCrqzyAouUgSm/cGri6cIOlsCCL5pkKqgKfeEvqhX
bCu1bCBMl177taHw8Ry5DtJP8Ay1aj/0ESm82oZoadSZaMFRRrqGL/voKc1WzRpUD4w8XYgvLEWe
xrNax8+qEkVQ1A+QhweCyxXg1I32CKBt/pYgnBpvpqqiDS2pkn/JM11sTZnXt2Uros+RlsuHRtdw
e1TbcTS35BbUzPKxSh6I+MuQv7LQdoCH7X6shKgXGbRqQgIqp+Tvg3BHfGMsknzejZMtrIfMlVN6
KVNTuS2LSKQ7d1SAnXW9YowfaHNOersxlEoGZpx28WbRSS83Nc6g1q2neg3cXzvHD71WPEz2EOkP
G9+tY1fuLaMyrhFTALDvYK3q7IG6xOO1Zin02tOpnGqfOGQyqLG6YidakaGGP0XFLim18bmtC3P+
rss8v62MqQeeDHr3y1i1ww/Kv+pXF6P45QNAQ/qNNDnnrVIWzTZHMu4RpDGZdKO3CicDah/oDE6z
jbW7jkys15XLERR32UXY690Pfhlie9bJx75TjF+OMSzaZIWF+TkHmatepcKZ88hXKpyHNgLFt2qv
5lXyOVFnIqTEo5i1G0thEKpgeY4Ue0sfDnjVotfl9a4F6AZS9g+jL5tb3arQ9a+HZKp3Ka8CPbA5
iyZfQZPOI7gqAXhOvRy/xKh+F5saP+8vlWM1ySa2Z+SQ4tmKHhv8P3NcjavOPmidpt/puaYjopWm
mo9TqdFzUVR9dVHMDeXHdhqdas829kZfT5ThNnS88hHJDu9aLfr0LgJF4F5XSOM+o2C7kDOqynk2
m3D+aTXOdKtGqceFrNioNBGqhsYuQmE9PgCHrKG7ey3XkJz7rHte+q9coulkfNERd0xo03gw6RNt
VB1fuFbc7szWbMGQIQfyK0WpDt2nQU2T7Vw3Nol5C8jT19NJuTMGNMxgrVON9lFvc9TrqVQdsbcS
pNTw5xUNKmJZvKFSPnC2T70SdLMzAeKIZuMKlnv+pLrtQt+cGnO5Cmku7Cyj9j4VbV0R6oFw+S6K
YhgOXB9DtB0rESL4HSomW8qY0o/CWWI2OzOTg2jQlNnEtTUqO1lSTti29sxsUB1vsYV3pJr4cMY1
gdpBW/c+UUbzDO0bHYPBKFDvEFS0cMl1RvUHTlFpvK1dTO/3Xqv9ci0KBBcpjTxrq4pU3MIMh0Sv
p07pfAFOnjU7Q7Imd1arTxbmfGkybOKi7C7iph4yTBxhr26IX0G1sMvybIcCYRXd6H05C/RjgBgz
x5KAwR70AaUcq00ezaEzH6oxQoY8xToIRUSv7+fdLHFEQ59nMD7oZQ9qkJ5IjFlYaTkbqUfGFxUt
5+oqMxXEUgxJEJF2o3wUPSygndeKSbvy5tgJ/cwYqc5Bl1hedat6O6scKODi9ldc1X2NM1kOjeJD
GLr1U127dDFEUunZVjZT/UXUtlvRrte8Q5Pq0ZMx0JTeWZQUnzmwXO5wMDZcvVFhPcWpo/3KY1eP
WNodyi6am8oLYeRMN9Edq3HUihk/snI5lxo9KuWGZlJ1Z0jai4SGRnIjC0fDLaq246t0dD0EXwCM
Nxu0HWayfdCPdy2ogq9upHXVkvbVn0HzAJzQRYuCXpOK6CnUZfpDL6qQd+A65T1WyFGxzwD+/dSy
TqFqrQ0Y1JUOMi2pxamfZsC3nT6P7rIsa27+QyKlX8TqpAXEHM6FEk3OQyqQufH/Q5ieQD4IFAuG
huHnMXPtuyQNu/u3k6FTZR0gOd4CHFoUWlflVTyy1Vl3iyFwXYGWD8qqvgDVcKZEtWIj/JVh411E
h4mG5et6nMSuKpk8cwiqhD6WP5oIvaWV1t4pilnuKtuaP2ljUu4RFUiv6tomnNSsRCDnMLjnOg2n
cmvKHkuuS+pJ6nucW3PgDZ67IDcwGPA+9Wo/UZtIpmuNKvOZkufyUa8STVi6tPsW6Zd1bp0Sypdd
HvZB6ZXqrZEOSBQVOgJPah+rN/oYn8PWLZnr6wE9G332peWwZn3UCJJoeZUOQSztQW56NwKfYLC2
UNlQ+qsUPZaNl5WIRZZOq29UL5rOwPiXBbP+BrilIDZtYFfCljyeXSIMhPkGSY+vVjvEmawMWUjT
TL91xjQ+G6FaljtcAkO/Utr6TDf31HTjiUbng6CXYvZq7HzGmEhJ6FR5sRYfBHJYH5NGdYOeJOBD
W1rRmWc9OR59CWgLeJtSwz9+VtGLrELUbQgK1ChVVCj2NXzKS8Uu7Y3pDo9vb9XTo2G0BwWQwsWa
0a7XlocejApOoYi9B+xg509Nq7S70rCni7md1TPjnToayDHp/1O1o1y4erpoLtG0cj3eZC9Rb6mH
kmbtlJr/aBiqkUAwIHGt0dAltL7ZSyYaZK3MPmRaO961VMr/yasCSc/hA8wWTu3xq0KWpp/rASyc
psjoqxLbIMNcDAryYaiehyw7R+09VdxiKJC0yITgCroqKWohmic9J00Qlk3M3WVJeRuFhblR4BiP
m9zwQJAYlTxTUzt1ti2nzdJFhfG7xt1leuUNMeF2QIXS3dnIze0HD4bAHJPD/YPl+NtQqyeMc92a
rRLYDNKoyQa0H3rEWnethuYlgXl6ZrST8wmL8KWNylpZjTZ7oS7qhsXYlpl9MZR1R+ThxZd97Zm7
CcoIVwXQpt37n5Eq4UKGBxnEFj9eNXrZFZiCsOXcCLmrAQGlbTsI/XqOVdT0ZNqedV48tcnZcRhn
cyfDS17hoGqLYKKfeYEJ+33vAAo9SNsRD4oRRl+cLqnIQBEJqXot/6zNlvhcIKhyOUzzkleE82Xn
YJUzCA8xKb3Sf9ZwkX++PScra6K/7nLcrWDIg661qU4fT0pMZjPWObA0V42H0Cceq25bA03N2HGK
T9VoGb5UNfTvikndo4phE67nhdy1WeFb9aBfmmIanmO1REjx7a926vYDWs6hRa0EzPzqxFJKRBfc
lMLSPLstVTl1uFSFYnwNs8x+oK6d3iKhg0llbhWXTe1RSnl7/FOLlIOZsrKHvi1F1uOZycICrqkK
iM2OHFiHupEHEoHsR4jj9pexKdSDqjioJ7896qlzmp2xiIxy8YKwPh4V/Cs4LFuAYco1x09LDP+6
uBdnDtBT9zrMGIDEdEhglayeLRWx0dQ9ozjR1N+781Ttu2Yaqaw06bzVpFFdDnNJu6CwwzPIqROH
GlwxVFwWtgNKCauzu85UZ6YnAwgNsD+70LOQvS6QqlTa91G9X9b2Yi68oF0AN5jOavspIsoNp2nG
gGmIcIspJsTGCJ92aanLw9vv7cRqBXDpAjFFKBDm3epwsSbpgvtKiD7DeSlje1RLO6Oj9o6ZsPqh
S1zUJsdKBQsAI14iY+qh/L19+0ucgiGAttQAP4KeXrD5x6snGtyJ+ruYgtyu1N5vR5R/yI+87wQw
GnoHqtn9qU4i7vfWWKTXk0qYv6Uq7ZwLXU8s4+UwQR8IlxlEdFbLWFX72tUijhVl1LOLBmmaG0rQ
+ZlM5OQoNFyJBPSFOLPKd4AcCoV8dwysqi4uM9JbauzJOUWyEysWBUagiwQ1BGprHZHSKWYsebox
qIRlf570sr1pSaE/K+2iOvf2GzyxMWkUgowBvMrNsSYiZ2YbCQUnAgBGjtxkiQRbaAxz9pVs1N65
9mIo6ehDFrgNKhdvj31iCTMwIE2a9pD719vFpcE1mwYJFDjxlvwfX59qRysdKwQOP/TsOnp7X/oB
KXufEheel4Ai5DlXpFMzgO85WxL2L4nP8jZ+A0BoE1AuRUwgafK6+DBUaAZulcoTd3Znto9FE040
NG0HEy/FVLxzkcnJ0cGI00pHGxHC/Wp08GruRNE0yITX1wjetwrG5BV2bzst06fmssZy5y7NW5OO
QRbP55DbJ1b0ku9x+gP9gqZsHI9fANeAbDapAQIixVaqTnrntLb1Lnrwy8G46CtwuS1584vg6e9z
nKZDDBLcUoMSVfWApgOF3nhKN5nau2eGWlHr/xoLk22ORd7nghw4fqLebIWRzVILmln1nnS7NB9D
5s+XRlHtZkSWaQE60cZAl2XDfeodLCNcNORbFG1sfSgPfL34MZz7eKPPov6p2QTfGnXEe1ou6WVd
Ds1FQYOFYDzR+p1iZ+Ot1ZhwZhs3O9hOXO+zHndvc0RPGbmr4Sabc2paaa+1+ZmQ4dTb4wIg70FW
BarMKphKp8mOAUKogbBwqOhStd/RbMq3b+/T16PAp1/U5lDHQKJ0nRYIwdmdp50aDONQ3naKdC80
lPXOPMvr2BXNCZt9AKaEHMtd3dMe9iCeDWQnwN+eCpynFT+aahq/1rYib1Uwvn++96mg+C1iuiji
mAQlq/H6ztGa0ixFUKQQfRxrBjhtzp738R8MwwG7xJQwmdYlMmRUJ8sskzbo0CTYT40cbmbDaZ/e
HuXERcyTsA7A2S96HWtVFjFIdA8gtQRlj8Sjm+pV62ex/CGRPw23+ZD020o6ynYB/t5lXZ1gqQex
7Zxa1OuXiA2uji0mmgcIQK4pepyPscJPOtBkWbXFMsz+MTllsRBBaP76jhMm1sXbj/76tlz0+OkP
4qnL4C/kxt/O7wSaFq22rA+oeKNpi2sMwIZeUS7Rv9Q+vD3W650AbJVbGfkBqJmkk8dnC1gyreh0
QPjGvFhkq/Wwy9TuHPxwpWWxHGFoEi8NfooaCK+uo+U+i1K9V0CRYp2nfA1FYaqbwpPxxVgMzqWS
agjhSuL1A9Ja+FxE8/RBUTwaVrrWSip2FfY3796dCKQQlCALs8Cw1svYsBusjaqa5GhotENbd8Nh
7q1s11ZZdqeILDwTl5x4q2DumWWUDKhFrEFVoApEOycjpYh4Kr6peSr3Zdua2ySxhh/vfKnQ3BcK
HhcdJGkujuOX2pejhX6KYzDbprbrtcHZt31yzoj81dJZRoEphIwN5w6KIMejxNjPCOCiRgAp55fm
NjRV8PTbvf0oLwoDR/VTRiGOWOTIqFTB9z4ehTAGmQ9EvgLUgaJy29f4qyLqP4V7R9fb9MJVRC0O
MvKc2znS0qfCqi3bD/sWkWq4avHnSpEVEjGV/RNsDvqaSuT9aTrLpe3mCV1hx2xS3yFrf3bzQfzi
Wre+xalnP9EonM+pSJ6YM4NVh/EhNCUuhdV2ayq6GXAU1cCjSrmXquKiMhW/T6qG3Qb9nRIlUufE
7wDmVllbxB4UWeKpQU8FCoenUXN9TWnbxRc62U32EA3vXdzIOkFXMCgnqlzbL14cvx9ZYV9LPTG1
QGpR/GWigfRQqJl7W9DO+vr2ijgxhShbLuuB5bfgio8XhLTqzKxDVwsQDJpA6GBNPIXmcHh7lNcn
FkWThS2PjwRCpryt42FCCVJhmForsGtbBmOEHyCacCn2b2iI+DG+c/kG6VEnQlgzQ3TSqBrMx+vK
24lc0fWDleAo9vZ3WhbH8VZYeNQkyLSllrto9VrxVTBQFtWsAEgNtaJE1cMPehLRFcJUpbhPJnem
oes0X94e9vWEM6wLPnAxiGbdrtYsJmSt1UHHDTot7e+KRExfHMRx7t8e5dU9u4S2NCqghZC6IIOz
mu8GFYQa9+6AzXMpcA7DbrcOGs1VtmnaPL892KuzeNl+uA+Ah1/sONf5qBq6GNJWvRXwBpOt4SlY
chk6ihhhcy4dOfHSdNYQCuPo+iwlm+PnikLQKwBcnCBXQHf+KAwa2r7WzkBRNDdBmbDyZJlc1LFw
zmk5nphSrA6oP9D3ehFtOh6662Mns9LQCWxyzCvKWA6NYfSWD3akwieS8Ccu3z2vTCghIcU3/lvn
fsA06sS2azewq27AdjTt9mGeteCDxDmX4WXeVpthuRGWchFKH5wDxw8n7dyqkZ53gxgfP9AWsSUu
7M7pzUPlzPIimqPqtjDQw9JTMRyqKlfPELROrKEFIr30usgnuQiPv0CRxGADOtuDiu6Mh05pHhMn
yS9ays9vT+qJFbQ4npn0ZjmQ4P0cD5RoIrLTvg8D4oZyL2QBzCxxe2unRoN5z0+GnSkjxdi+PeyJ
56PZxeGH2grbfk0FBX6VY0Ooe0E82rWJaLDbfVXanGbRMCff3z8WDQUIidxYiKutHnGIIzUm4A+D
VLdGMCh1dSEcCBWKsM881anJpHK6yO8RXYPMPJ5MqFlACzHYDGxRpc9k3Na17hXarkTca9umcj7U
kRefCehPnKDMIyEmBgDwhtdnwFzmKJuPDFoohr7PHMq0Ser+zd97l+rQf6sldKQ/9KY20f+HqkP0
Lpg0FsX/+ZfryyvNoatvxffkd7mh//qbfxmxmX9AA6QbgAkZykCLD82/jNi0PzSD/0+xEGGQl2jp
N7EhUAMQyl/uW2qXBtWuv01qFP0PakyEIuj2UPMjBtbfozakv+Ldo6+MfCIVy784AN4qao/6Sm1m
DwXdsh6b78Dc7G+jqzcuAbxr30ot6UuAWRPlnkqnVg7UNQyBSEZVSeRBoD9uYoxBdGBbdkdsOY9D
4aPUJ5EHhH/7kSZ6iUqE3l9VjZ7RupZNfycUV8xbo5/HeNt6pQ6qc8yqq4TQWu7saawAAnPeazSq
RuMbRmNGupkgYFsbBU/O3h+MRL8VZqsX27LresPv8UkBRthbab6NEiBrmxA417ARFiZWvl4VPeXf
fnwUVSOe8Iwdxq2lF+a1bSVuvPHSKbxb/LkdX20Uq91SvqmKjR4p9fdoaMUvUwegs8XoE0HzCPO6
0R/jrOm3uWYkIxFR6WlbdPDknx4QsFtRdmL2B2LT2jfy0ryS7tDV26kSbn4RufbYb/qoairf7XWn
vjTSLP5Rq/nQYqxatgByPVnLhzafxIHULtJ8ZbZHZd4UBNDmtrE64WxwoBcG0osDXPWqMGP3Bv03
/NrVSJq3AsTjsB2mYq4fY/JMfWOmVmLumxjU/37E3UX1rSwdq42i5rm7owfa3omw1NRtGkpZ7sMp
gh9UJ1k43aajhZa7bDzZ+47oagsPSCghvtbnFlawGTHZQ4dVNs9aFSGi/n0EtiTK9KT05UB7hQZt
7Eii5cp191jjaYrPgTSHO7M2i8KXKA/AaMDJqfKrAljyrgKe5n7y8nhWrlQ+Oj4YVR/nW8rr6kfV
zNXnoYgdgK5I/HzS4cj0vjs2s4XDnXKtpV7zkQBbYBYUhS4sMgko+yC7vtijboXklIfjrdzkal1d
FiJayjtaJRAWBzL9s0b928UJGBooaEKZ65tJtcYbikLJfU8p4VekKO5NNsXdl9q0WhQ4vSS5L7W0
SDadahQPajcOgJFZhzfkjPgsRzRvfxm1tJVtZXv5o1L0Tb7rba0uNzaYchBxttBvjdHpvkscW9Xb
oRhzBAFNgB5+ZmYJhBCrSL6ptdAqH7+c+aLGUYlKKxZzT5SmnHpninQLwhn4t1EnobnjYOnTbZVU
87h1Dazi/pO98+iOG1nT9F+pc/fQgTeL2QCZiaSXSMpucChRgvcmAPz6ecAqtZhgXuawe9Vz7qYW
VSVFRiDMZ15zZgBWwZJQg9zTCouHldYhf52DR+FjktbYAvQS9BgQq2AOk9mK+BiYqf7KJCnYBOo0
3uLGnH0OVL352bQEdW6RjnLrWRgY0U+Nst7Zh7nQ1K8tsNFuYzt9cyPVKpO0o36TV6nd3884GjZu
V1pTt8u7oXxQkJh/LxqRYSxcIE7rDklcppdgjcuLVunjm9wqbGggIsZ/hKMx3ihJOOsPGZ7Gpgdc
f9ilss5Gc4xB+dkaIw5QTityw5+FNsLuHuoyemMBh8iWahIMRZSoqfWvISyA8atKYI/iz/oU482E
QnRTD4AM5zzcDrNWfXr2oLz/O7Z8bquzfsXX4/EUPC/554Ts2HyJyucBl8/gkSjuQA3iRJK3DruW
URbRZoqOjsOWXOLeZ5k07KA4TsRU+UVdO/EGT1gwnF0paxsrSSz/aUr/CRn+hdYW7iPE5P8+ZLh8
yKu+CA+Dhn/+1O+gASdWvFlIZxa8C45Kf4IG7R1irbT6FhlUNBP4TL+DBu2dtSAc+XpLVIF6D//t
d8xgvuP/RgUMPB6kYRko2Vtihhc7EmQfGomgJRYhdtoZh3tFz2shaX2o+8DjCy/oLNkXtvZWXQiS
cqDvFEn5Bz1VeVVwqeUmA7srJH/IMnUnxdxDllEp22drf+R0rQPzBaNCu04zFnE2isWr6EdgL1CY
ML+QYp1mNBTUjK43yH7h63YwfLfkqopdNary5sSBOzYwX5I+AzolkJ1Xi2hUag2iXpb8Ws4R1c3j
6kJB5GjTlnHvNyTvm1bO5A+vz3admi+zhWOqLRAVlaB0lYZItNsoFmiS305KdCdZQ7udjEY/q+B4
XBlp2Z1Ie5Zb43m2zHjIKpCsLtnqS2RmEKXTHM625IdKXLpD1f4sVOVT1jbvhZ3d5YFS7fJEnOl5
eqIj/kLlZxl5cQ6hBEFNANDY4R4NaopzIVThfYq58HccD6nZVcq0FZ2h74DMRXBGZGcna2Htygp+
OshcOQ+jXn8c+qh5ELNJqPfmxecnEW0jrCYDSVj9pLrXgwaATghlVSScGFD7MVqo52WYjpQqnGk8
MeD6nD6tATfScuCRY18PSAc1QjuMAcPaHl3HRpavzPJTZi3HR6Euyk7GluKpofbs5UDopshHRw/3
+gRVlqgdvpQcvhXmyFxYNIqBi1ylTqfx8Hsq0ERCo4jivYnJkA0xmn4jwsPhJb6ROR7KqWG8ffUM
MIfQsRcFErAwhyPKE/YXtd4yYtflN1hP9OdprFj3r2+K9bv7NC+u0QXau4QTq2sgi53RnhL8LKQs
LbdyFBrX01LHVWGsvv2qQ7SZzjAAlUXLdn34G0XYCFLE+wR199soqvAuceRxq0VNgOEYljt+b9TG
CdSY+gRQPrwEwPeAQ198+pYK8uoi79VR02stD/x0BI1zrWqDepVQBKeQrTbSo9ICCd8KsqdgW+Hq
8VNCmFe66GhanMVmnddb4PPdbePEabaZp1qtXU1PA2djFYHTulmi5qHnOFJ5182wEL2oraxhQ1Io
Txus3fSrKrK0ystsXegXiVYYZ0WjG2KXUKW9pX9Ywj4xzcbckmrrH/sKhSO3wYL5bvnZ1bYz+gor
ViWyZDcYB+fHUALQgqpZidp1eizufbVtGt0D3B78ElRya3hagPOu1UpPuFyCTtU3/QIRh6YpRYUf
Fbp9qc9q8kE2Ius+72J+XjiEYoaGCoPNlbpUdTY6CH7HVQCh1q5etlq9yeF0V7ukA7sI1bKtbq0I
4wLPgp08eGGBOyde4roCHTXpekitclclZLEa0fwnvUChfFdzviDL54M9+QlCG/oWefPc2OZ6Jd1Y
kgZhz6jlqifiRsEWTCGQP9dQhA7MwzDJnUbHCS4Nh3vSs4Zh/JZ3OtI/Ckw8WlqQitIdIqqy6clT
FJ1hh2POWBkJ9Rb9r/KLoyYpTt2WgUNqKPU92Y1OWQHc8vRZMmzJcHXASrDlWf7cG+2kua+IQL/J
lHZhBM2Ocm+iVDC6gaNK79MmKR96KZRKQE7ldN+bYfoe1G67aTqhPlrDrMYY7NW9RSYnYIU2pQnJ
BXcK6xpmk+54UVSO53kbZfD2xsIQsET5tl42KvJNFLbR7AHXzio3wAHmF8XYIHAjTKlp/CAZ8k2V
x/Za0eq69/kWGJxE0P5CTwjIhsD4q/myjy7DYjEc0TJl2lE3yc7Crl1gw2BNHHfoiwb3BFCJiivn
dfQeAtldkgWLkWBT7ykC0KuTW026SagopB7SQPWjrVbNXaWk9FzkPNcfemjx9waIK8eVExmaMSqk
SenFyEhjilordborYqGfh7ImMI1IE3iBxDTpe6ipRU5CHxulbw+ItRZJ2OTbphm6gcpNAzeyVEPr
Q5tr2s2UBf3HroY76uVZDO3eshLoWVGCOaTbFt0XKZfHdIs2vvFDCwogXmilZbYnRahLUHTMxn3W
ddaAxTqoMHybMNAAibYQNNR01qTtNAfmFwvprM8J4LXrUAmUwJWsGJlaqUs4kSgPdlejvayeUReF
vNHm3vhe2TJs0ViR7HjTRylIIy3RkUNIYn4IDkZ56tEUd7LLVu/ST1JgVJAojWQMXA2xjYVsBQdy
sMfsOsLu9sJuVBPoLkK88O7I7tqLpJXtq4bimbQVYJ8QfYgT8xd0MuU+UiZUnPHy1W3ObYPT+aSo
cfLLjGbzU5QKFX/6xOHvf/3BOBLZLFJVZGgEjzaIjdW7VA804HJkUsAw6Nk3AEAYYVUagi0krcYu
00cEWzBxv7SpGrkO7Z1dECTSZrbKeZ/B0N7L5nhKm+5lnEcpc6laK0uRkzzk8K2EjVhr84RcgU24
cRGinfglNrXwnuu3/xh1qbSvaIBvjIpwZ2BDnYj2Xj6iy3uGOQpnBdOmdRu4luoAZqoe7+W67S8K
kcwetEn1GsdB6401dTp4i3g8EmjWIo+7Nitto17uSkx094iHPHJb1CgttLn/+jd+GVLBOyBuhs9L
d4yg6nA5ZaNLgEAzH6qkxXvJklQXQfj54WmU/2Th/4JNvOgEL3nzv8/D3Yei+1k8T8Of/bHfibj5
jsDZwcEBri+oFvb97+q98Q6cFG1t6kDEhkts/TsRN949tZMX+BYey0ur7k8ibr1D1BP8PmITS8mf
GOx3a+GfXPVVg/kl6F1FVthd4voGYk0nvV9FVsaEf1Qpz8k+NoZA3gAmMa+qNFcbz8ms4Cow8CTC
UH5OOq6iTF+UI82vYQtWeC9C1ISMpi0u50zStlqh9bsuiOGvICXRo1+GlspMgVIvT6SgL/NeWvkk
2kRX+C0+eSw8LzRRyTOVLsrTvRHy/qAxkVx0TRRspKrsdhVcnPNMMk4xUl7AKji26DfTgiElpGuy
Tnxxq6p1eRqSfSAPJehEfd732QhEVcjaVuTdTz1q5Q9jNvQuDrLK2dgohjcqIQrf4ymhuCNfDQ4T
ET+ooiWlWS7TZwmT3gB01cSU7rPAgUzeoBmkZqFy3sK691JUNrZZE4DSsgAtP9vgR4odL9N/Un4E
Eej2AHGFaXw48tIM1HKdkSt0xryBPNwNy6bAfZxWgyya9Mvr47381rSbeA2QnudqJvc9HE8qx6Qa
pyHfx1SmznKjT9wKttTtZBf1p9jsaDeMqX5ig71cXqhW5DnAsHmQ8Os4HLTq5WawEuwXDKk1K6/W
cWame1DuqY0lZ8Y4Cer1Oc0Cxzxxbf9tZnF4INlhTHU54HDH1iwOuazNFhGzam+XdvpxkIpO2oAc
iseNwq4uoQBLPYobqFm1Lr2SD7ETXtVWrT7OkzbcG5XaOD6yJV8AdUTjNk8t1L+SnnfPJSWS8PN0
QnReyLd/JUZlf+/GVE18oKJt7WLVpKK2lA3a19E08Q4qyw9S3di1iwyKvHPq2vJFr2xjGwWHgEAn
22TGXJ0R/aJYIfVS5ngiEdkvJ5WNTQw5uT2vJkd+P4HXKGhjjFFH+NYp/QYWY4G4gWN1qFSlwE+8
OnAkP5EzZ3YbuivFNsqKoNkgPzV9LFt8FCMrLGBfFkns02UjNzGwTy69zoSR7lbRUOF/iPUO+aji
51GZoIkwxtpVTkYHM4RmSeVpbTf6MWK7jtugF4VUHqLktVXUZ5GdtY4Xj1amuqmVpGKXxnrxVaW0
9NBbQZBfU8RMEy8wJvEtldvplucDWl/U6WXsBW1RIzOkZhhLxnUUupOcIiCitx8IKz2g5k3qOURU
VwjbKKgBlXJabJEcispNbWmIVCCYZXxLoszyx1xDMEIZCh2tmUhWv9ZWHP6gMaAW+0bVovCMbNW4
z9sxCtwB0rLt0l8tzgt0NMbNPNCd4R4MqvMhKcvObebEJBtxKN5EFEE7LwzqYlMEirFLlQBT8TlP
VLTRk0ViDFaHGmzMIQImloo5eY+QR0JXaErMcSNUdAY9S03MK9MMOYZJ1lPtnLn27814QmBV58h8
I5wpC08OUdDYg0lGRc3s0k53Q7suU68s1cLytD5Nw00yK12zjWk5KTQIHL30Sbpjup2Gfp4bg4oy
A14F19Nko6ahNXVR/c1O+E/w8i9leRMA3Ty7al/ADu6qnz/ih+yvHw9VjIHvX7c/QzQZ/yp//XX+
kD403cNBWPNff+GfqIYPsxDYF9jLEoT8V1RjvqOxBVkaNhv+2YtQwp+oxkJHAGKahbEKAdEiTvun
vQCzF8V+TCMIRrC+cd4S1hx9pRgBwgxMdC7Uwws8nHRVDyFf7FPUiAhk0PITfXQW0fP9aBfOG/FU
CyQP9B9QX2rwQPNWMRQNfGWCdFDszakPb+KmHOjtZ8U32Rb69tk3OvL8HklTDoZahfUtzI9kaqZi
r9Jd21SGhPepIwcbVMNO4Y2eupAHL5FKoe3JjQXGJiCW5ZV8FmRQ74i7Nu14idR22NeZaSJKVVYy
5SNbuzMtoTxKnT4+yMFcAB1tiutuDvWrUkTdVS4H6o/a0LIePTqudHQg1TOtGzS0j4OiwfPXpnWc
NEMcb5xMQrau6TP9YzTiRt3XzWi52jRZew05tK0GhvpTrHQ8ITizy+8xMoj8DhBk4EcqAnPCtqYL
Ml1tZxCG124BoBFpuZSetYuibvLjjZ9gtSyr2KsAKTugN1PuR4tqFqSi7Ds6HZrbx/l89zTUm26o
/42IJw7DszV9cfV4P4uu4co5fxgObpkF+PT0R/+5ZBTlHWBhIHwI+iLgvTA8fqdO9jtYLXhmPHUw
n/zXnl0yNBDQ/qVARpOKxtyfS8Z+B5qU8jFqDgrxz0J4f0Pu9OIsciYWjBX3ILZtL5RdRVE6SifF
8z4K4sBL2zK/GOYkvrQiPfaerc//y7Hn2iRuoW1BD4ZLdXXDyFObhPxXed+nk7UVY2/eOyLD9hnH
wZ9vHsqQlx60RtuUBu0y62en3qnZ3f3MUJ0zTwio2nDZsjT2oT6+FXoPMHnpxYAupFFNZ3l1S0tj
SaOs7pS9ogcyOk9Ix8aUFN3BiJ3d67N6uqwOLrMFCoqUBvYwfHp6z4fTUpSR8JHO7F6vI+lC7aXm
Y1jL3d0k5SDj82TYOGUR7GaJ4jZanMGF0/TTVyx/LTTqwjD5NKHJsBmtpriIQhZki6dG/wsKkHyh
Wkq9f/3nvqjeLL+Wni7KoGQAmI0c/tpcCanoo8uxD0Mz2BG4W4gNmsl/YxToUxDkOXZABFY3WYar
Hf0KTd3jdjVcyU3Zb+TUbk4kU6RO/NrDtQfJjdsEjzpG5S8k3HE/7VvsGOIzQ080hZJyj3Ku6gyN
vR+nHgHLvqvAWgV9FxWuUll9QwyuBhBk2vmTboYfEdYyQbw2tezauhT2HtFPcWurafUZSr9muEqQ
GGez1bQPIFzqBXAnha5TG0LdzktzzGX79bBqABXeIFbW/KwVh9JBUzjz7NbWOBJsqyXUZqMSeu92
jgICKxhyVQOqnEy6VxtDdJfRzkE0k7/J3khySEpWmPjGemkqde/7urQHl3oKmD4Un3XynUHI8Q1i
bm2zIcBG/bjtakqriE1igyGJcESSVtPLvU2gqzwAW6bbQI3V+CriWv1mRM52NqzxuzXPi7pWLB7a
SR/HTQz5664SBDP0LHGu9yOd4Nh1lKZrsV6p69wt2oKat2ubLTsnNgPr3in7qfRSpM+ni4i2/rdZ
BLPsOWWroykZVkO+Sfqs/BZQICexVbsJwcLECW6LfKqMLY4rMv2e0DK2cNsaCRXJqrFuSmpoX/Qu
GD+KIq50D1hgY211EYS/sHEWqFoqWSM8FfXzzzi5FRlyvCK4CKxJ+c47igi402RLIwh5uzsuP+0a
HZIpdbM+FmdSUU/znsqKoNIzTAUSVMKEgCRSgYaBaUjhddvMo+whWRt96ZIUiXn6u0q5F32ZmO/p
BI6jZ08pzd7SpFeeuqUdGMk1nyK1NgQI8t5KLeCTg8lFurWybra2MmWs8SyQkSx2M7WU7o2upx3m
NHZqemGOZJzbJkFwPdezLlw9p1S0S0Jzcqj6GOAp2xbg2zYZnUmBZlx2yTaENQX5GPkSoKG1FWzG
PGg+lDb2gfpofzHHIlB3NMHixjX0IFE8HRpl5Bbh1P1yskkxXbuzoVukUmxptFvK9HGUF8ExMQFu
Afw464RLdtooHqCe/ocuKblKeiYHslfKavWoS0EUXELckC2PnDkxN5oKjA4pSht1ti4bc6hmov4M
TNNEMI9MO0hR1ssTKoFKezmKEvyukVrVL64qbfTyKdLGL6IxWvPcHhXxpR2E9FjOGeBaDrGxBGr5
zAFsMwfxwrRSGvK4MTW+YmM4kRf2uXZZp3Nr+n1vGZemaPjBXRepnyWUWU3XaKSWDqTWmqHXI7V5
6zTIBQOy7JL7vM5Qm2/QsKbjkrRMPULeSnUbEQW/ymgm+x7NQalQlU1mvE+hf9W7Mlx06GJVMSZ3
whq480ykRu/1sRR36GojlV1RvAs3OnfgB7kk9/XGKeWGSOk09JvBzJHHaYI5njw9DHHjVOdAuSj1
JJNQzRka+jRWJ6GJZtQfmoaqxubpPXhTIPj/J0D+n1SVPOaVMvvPIkz7rD+SkfLnfmekgNeefE+o
YSuIsPCk/g4WlXf8KyQliC9hJi9yJL+DRfUdsAIiS+iZABfxliXa+Z2RGu94/AjwiLZUaJyku/+T
YBEeHrkUSHUyYFi0y897HlZZ+YC704Q7kRF1w82MXyuCu0n9aKbZ92drcyRWfME7JemlcoiEBw0H
oHrrQnWjBD3C0fXsa6JoPqNCOxtbm+rQd6UIY6o8FONu9EKuK69HAuILwJty8OCId40XAOQA1xwh
revKcVxbu2Lu09ad62CQKdcp6o9SKdtpj0u4fT611rQgGkxelqpJpY2t28MDRKDylBwTEgCrGMIA
x7h4zMNYoplFR+Vw/dD8qHpUIVTfokV7ow2N8nnqWusLzt+6tE1ipVzU/rMCx9s8BNNhFaFWuYoS
zV+1XoeCDcpiDDdlCXna7eyitDxp7OOO4rnWXCH3XWpeqI7BVRq3aenlsCKLrUU+O7kD//t0Btdi
ui1saaqxdOOF8+Yhk/Vt0UBd2HWWXf4sh7AGA45gcrMNgpEaomwIrN5yY9S/ltxdaHyHenjTovge
b2N48rc1hThpZzaWgh0XBU4bslKvPvLJbH0jIT31axrU5FOSg+zYaXUvAVsCpC/TPE/zS9JQS9sG
k04pkFgHSVXVkgbb00fDzt0IGxSsLVqLimeaPyLtbX8wLCev90BoAMrXPXGYF01Fr3tBlkVi0yl5
UHhDVQyJVypIiXpNXqTvVXQoqbBODXdtlQv1IZjxyXBjXJGN90GU97qr1l02e3VWTjcUt+MfaV7w
6KbShO3GJGS0pWj/zz+ioXW+xnAlu01rJMqHHg3eD1YhQuySoBUhkk8UZmwylEDo6BDO7FBkLT5O
alVV2wjzY976KgX3AGs2sDxlUNGJGKWGxEHwGyOPoDk03DljU7izU6qZJ03OiC+vWqYRKBHEsWU5
hCmZOrX+Ho8woN3yE8w70nIiqe4J/h0sSHA+LqDwIRiGHQhzoOLqE2yczT/edEYeACZ/ApbbURrf
dPZUogYLq+Gy/xuFPi6IdKNGYKtYUOr9E2CddiBCw1E66zfpPE1+jfJeh7tC4rAn0W8W36o4Hovv
Tj3j4ZDXZtDf5lU2Gdt41qJfahBY9k4Z2lH/UCdFld9M2tzKLvq7FqXZbtQ/EVsO6WM2tIauuSB+
mvyTMmpWThDYTBZeEFEn2x/qXGnMfZdW7Z2ojU731AypFNeS5wLgf5BJNO/mKPhklIbzaWgy7oe2
RV7XjavIGWWA9yb/ijOjDjd93gdIFlshouJtFJoDZd9GUjeBDBHgLtaUIdwhmazmO70bJw1URJwX
546RTo7XdnF+4yCvNHiy3Yc/CjMwOC+DETUoRGfhrV2VExdKK5ydVGsE2WPEOf/P29pNZ4//53cP
W3u1GHMbP/R/nbXZQ/HYHjywfzfAlz/8+4V1MLCHSUZtFzw1mOM/L6zGO8q/ceB5Ard+Bik3oK5B
MKUavFiFA5T5877K7xZ5S4q9gD4pymDWY77lgT1Mmak4A0gGP7KIOvDKI6K0eiCKAX1CuSCkzGt5
U9Cs9SohTqk6LtWPP6ns36OAI4fhsMBvga4fjhKXMLJyZzb8Cot1NK9xWRJq81hkpfR3yAebMfxZ
HnnGj43EE05kQh8QLZVVwCDyGmbLZPHg5eqjmdjB59JqSy+ZQ/tE+Xqp467nRGcVHMLCO6DHfTin
WooalVBd86NSx5QOH4LNaFi5J+f43OdIyFxo8lRfjpzF7euhyrE50l81KV0t1aZlRz0PinjRk2Es
S81XW7zdJju09wNM4U2fdMGJ5Vw+/4tJWkR5lJso06/71tAR50WQj0kKJb1CIIHcKIyaj5FUZ+cm
4vc/Xp/ake2IdDH4BHPZ9kCbD6fWzaKAMFdrvq1JHT01iLMa4Ly/765/u0mekFqradF/QfAPfDHn
b222jX75gDhlpfpdIGHyU9tl/l04HUDEya6po4xy2oAgVIyPkygiyU3HoPokR7E6Et8ZmPrwGhrX
Mxr7nxcTGHTWe2W85dgqeD7kuWq7vIjtZS2i+ruCEO2PUtRgZSddLksXdT+jvzGydjjlYnhkYzCt
xUwK2WnO8qr+hQrYoE8UeH0pHzu/CrJoGwVyeGG0uu2+/UMtvo1LeRXS0lM0/azeOTkJLNlZqH4g
9dmOfLvbm1Iqn4BNHJsQ9WpEL7k3AE+sTrOlpi0pSq37casUhIE5pggGBgQx1h8nqnpHh1puQA4W
gi3WqlbcUufJY6WCWjOgC5FpKalwDF9DOOKERPGxPb6ITRqLpgnX+2pSKJM2YwAF1s9Kcz6v9VhH
HlbJT9QPj83HpEJMNxG1OgR1D08SZZ0IJJSk+fokKIIIiz2J8xLGMJl04iZcASOfrvelPYBoLxol
dBBWF9JEoVI4baL7RNndTgjT2XaQHLd6qLRbVRmLCynVykuznZP7BMbnTRWJcmMh6rOVNGN22zLT
N6/vzyMXF2CjpWzKJQLwZnWR2JIzhfh9IA5RtPGNbozm10yqxz0vUegVs9Sd0Ow7Pp5poSGz6Kas
l5saOYDfMDZ8JXVkD/DgdY9UWU+CtUnit+m+/b3e4MX5fuR3THC13k7v9BKoTkqYNtYM1EW1246i
44kpHdtBkHhIvFEW4jpZ/vuzIx6nokBgaeLwGRSihhl2dgU7cS8hMnRiqCNHwlEp+KPDSslAXccH
oVMM1TQwFMVE08+ljL2DXtIJlBBR0/ox4++mkc7FhT6ZsZqQXiUZys3cJkVqNZvSwp1aj+L8fkZW
8ayEYn6REKBvX9+Ixw4HspDEf4Rzy15cXSwYjdly2aRMqxeN11Sd1HiQtuVNG4yZp7bZeN3z01pX
WObI1aaF1l1Vp3ZGLRJ/N3ec1OABUcv56+s/7Mjnpa+AsiL4SjKodZ+6NID5A2Qm8lM7sQ2qqLrL
TUn3IyuqT63BkdOBCueibmeABdTW9zgeM7NTdaxBzAUxuYGcpD9AOeYmxoFxJHkkVsYnQcfwh0pN
i5e2Cq6cNCA1bxK1B1DT5VSBrTI7G8tUQEMQk/UFYaTm1LO2nJxVYAC6m82+4C0QVF220LM9H5VF
2ZXUjn1zqnDTgxPQZ5s0m6MrWQlE6TZW3d+mcJA31lhou7d/ETbDghqADQxM83DwOujqRLIqyx86
tfXbphJ7WTLNHZT95MQXOXbgng+1fLBn82yHAc+inCIHTAg4I/Ooukqolycu4WOjLFIZsAAxzH5h
MB4LgFWFEpm+FSTTXlcy50xNVOdENHd0lIXdR8Fx2Vzr5MIRRWtnfDMHhOVZqyVfJgXV+Ne/zalB
VqGVgMrTTNjnUYjUdCpU452MOduJr3LsggJQzCMiw9JASPTwq2gTJThdpr6fiu6S6z9wqQRdTpT4
MRiLH/Q+7U9suWPTorhLckrpE2Gs1ZZTEztumoL0D2hA/HmaqcSI2K5OFSKXv2Z9rBZ6NH1MUAew
0Q4nVkhRrCVxxjCxNZ6bWGu6Na6+u0gu1RMzejkUamlgfEkgIL0RMx4OFRZaTnmVPVcAc93xg/RN
rinUteb88fUtcXQkwh1Y30RzYDAORwKVOY55KhmUyUSN1YQkbSaltjZdXUyb14daPvzh+jEp7LzR
9zOJ763lMz47rpmmoMSCoKc/gQ7/OHLWvIhu+4a0Q90FZhe/Oe5mPEbiIgSk9ULqKkMvBcFfxgtT
ubvl7aD3panieqA4tX19ai93ICkEq4f4r2pBVF4dLIvEFZPNkq2RZBE0kkoCQl/KJxbw6CjAsgCe
LIiJNU/FmisZMU4mlITptO/xf7uqhchOsGGWbbz+TCoIGWTcYfwAtD/8TFiKaS0WUJjTzRrAYYiL
XifCwQd8K3aZGDRPjG0Dy06oe6HA9np9KY/tEkigQL6JN6DPrsJCWmmqVtDs9Y1MKB5cS5hpbV9f
gbOpfRq6wam4/+V9ResC0UmMJHhM7LVQYNmAJCaZMnyhzJaLV3Xy4AR48EajnZ4hNS5dR/nyvBiY
vwZpN26F3NTIbzX0SRzK64/NkKHfQ9XW/jDy1l4LDDgvaD+3t6+vzIqFsETMyy+FgG/DvrfgFh9+
GWRmUOXrhOHzTrUPltMntzqtdtODrQeiTkhJhAMmku2wNqMeWBrmohr0xSYysk3XO+ajNbWkhK//
rCO7ElQN7jigPCiOrclb2OhBoCcDQmyosDeOWQUbyHxvQ0H9M3faeFzwS1RjrO4pPUm7zs7wLm5Z
BnagM8Kh1RWPZnZxYgceuRLB3i86GLxerPRqqCEqGznjlfHVBKkbl4CtOHMAMt5FU5WdeJGPjrWE
k0geLgH9arfHaU5C2uSmHwXa7AGGzC5jwdsJ5n/+70wLZV0KrjQJCeQPd08hVQ1WlJXp14084kWh
klCjKudb1FlObImXASjoOO4nnQ4c2hvrGLAB0t2qWkPI1FnTlRoKdaMGoeYNwtY/6npR7WtEDuko
nLy8jm1GiISEFZROycWW9X72xkwyNrfDRIw+67GBqXKd+4kJLvTtWx7NP8raCH0bIMoOR8kqK48n
BCR8ZZjFthatvRHipPnUsbkgncVWpB7GjlcPRyGFASGXQavPECy+aXQ9v5LQ+Lh7+1ygI/J+0elm
X6y2hbAjbN0SWfdDKUwvDFnEG4A2zYlb9sVcLPCYy16g3u+wK1ZXF71x/EZtvoYjGeFN3inZD1K6
N4fqyyiou8OrtCi4rc1HUpyMHBsBSEoKKtaeTo7XLazmE8HZy3sYDpjMIDTZqSwQOh1+mMnqA9Oo
GlqLZlg6nqOEeBorMb0ybwQrdosxpqlhCltbw3bMw/mTnDUEi1LW0kqkvllc4GLRNCc25YurhF8F
rH6pMS4KPWvBTYcihz5xc6HCMDV70bQ/oPsk57OQTwXCL55otgvR/QKBJVPBkeBw/jQNEiRIjNw3
ikWYGVg8ml9JOl2OKFF+Qyj6VKL3cmrLlc9XBW2/AAFWA0qdVmAfP5d+3SvZ9ahNEr7ZFHFwdT4l
dX1sKAVqA7xIuiIvge+qw7edk9LvzThCS9A2wOWVBjpwQ1KcOBRHx9LhJGoQFYi1VlFjHTZDaOdx
6c920bqT2cfIRSxoKJ7Uzeun/NRQq7skl6R5wveXFZwh4RQq5QdLqBWbVH6b1AovNYpOCL8+HQz2
obN6PseRi7NEp9THNrn2eiM7x2Ydyn8nKW6aWtOJZ+3lzbIMB9eZN3txzlm9oHqLSiEBd+knXTJD
uEffg7e6PVHuXvk6/J7Vn2FW12SPFdkwwqLxR6dBdFIkwYMNN3Ez6ygAZZRJPU3SHCzkzWQ6d4ai
+yZyFAze/hWpPhGUEG/BJF99xSlVeokqMBtmjvubbIpVf5LkYd/oSrV9+1C6Sk65GCzBjV+W/flD
GpUoXgXp8nwm77GybXylAYE4jPYpePbL24SWCIcaYxrgyE+Y/ecj1TLxAXlI5s+1WYNnCJCqmNtz
SVZoQwbV49vnBSCZliMNBUZczQvValKbKs99aTDUjRxPyl7GH3DfDWp0YglfREHM5/lQy5l8toRp
F1qBiVYHz0Qf4xpdRwYonb6P33eOIbaQEsXeqdpy3DSKU35/fZ7HVhVNJQNdYnTW6MwfDm4pjaPm
+Mb6XS/Ce8Kw5leX590OJdLxAkV088SjeHSyxCjwa3jmrXXWOEtJCLCeda0yudxITp2fIbDTvG8d
OfwZy9J8o/XDcA4fzTiRr77I35ZlpvBDe40tiXXU4UxHLU7GXmKnNk5vXUoAhuKNKAr7TKXT+6ko
c1tFaV47JVO+/LUHafKyW3X2EGkjImH2ati5kIzIQHHNn6JW83QrCIl28Y59/TMem5ytAxoENogc
wLqU21QlaW9uMQpLsNFaw7yfuBxuFaVRiNNa5SKvbCibr496bG60lOnNE07QbFjNbbHK6cvBzHxF
cuZdQ/l428jtcP/6KE9VkfUSUgeiPbOI2QN1OPxyGYqdmgpJmdLC0D6owjbnrUg7FEt5rLLAs0XR
fcd1XHyS++TCSoS47sAeSi41kPiUXuCxA+M8SR+iKrCw/Q9/DAdGrmOowL5Aeuaj0UoQCB2jQf2k
bD/DBVb9E7NfosTV7AGkkvMtpQcaOqvXHwObHJWOJINdM5Wj72Tm6HjDmMWWr1WZ3m2lxEkSN8qa
GTx01ITgohLDLjYYmEyqR82zl3El0+QLdJqqU6/4kS2ABB5CrIvC4PKwHi4HERdZydTz6+zJPJeT
trrWi/LUIhwbhUY/zfeF7kIX/nCUMJVSPU7m3Kd59KDPeKQMmhSfOEPHBwE3ukhmwAldTUVL0VAw
SpUrv0r/L2fnteO4tbTtKyLAHE5JSVSH6Z6cTojx2GbOmVf/Pav9Y/8tihDRs2HsAw88pcWValW9
AaksLbDVe94PQblz3osVsp5QxCmw5hHJKoiay8GUGnCMaNZzH444ysbqrD6kseq4bVyndzuLR/zm
q1hCh42Mn+7X2kxTRmvLilCq9bU5lZ8rLTIKV2u68jRiOPW5n2vtmwqzEpXlxOBckpQeOCUqR7d/
xuaXBcTDeY8eydWrbpqLytYTNnBb1sFRCovwXRlJw4e3R6GbSuJPNkI1fJX1cOZnMyAlDnj6q14X
JdWp0Ky96vTWWNC0hCRIHUs8by5nD1RAW2hoYvnxkEdPRogVMliNcWx3ztaN1yM5FXaSaADr1KbX
/OS6riUlkWQE05kVDykN20M1uwSpIdfRx1B1Zi/Hluj9NBu47UZd+xROAn/pqLETuy3A37f2rWmd
YgJMtwEdU6E2fzlyva3tMa1IbVtJlT2A0Zhpxan+B7uQv15kk7Q2qDRcRpkMVPIs3qK+PHTNQVJ5
54yFslcm3LpThJIUjUcq/jq0ocswi5aWYx92hd9Y/eNs5bMn6Q74ifGTGnafpQ7/t0G/LzXjDAg3
9RotcXYmeGsh0QbA8oJqLSoiqzMtaacW+sxS+JqGXfKw8AjqIqk6394UW4cN68ii7SDIrmuT5Hyx
e9nJssJH93E8VX3VPlU1HZzSTPZARVsDYuMJzaqXN/9q/xnqlFA3ago/GSvTRdqNKnkU7lVdNxJI
wVmgcKFC00Ri5nLiGrWfk3mo+Wx2jz+jNqr1Y63ok3ooKhX0vsAA2N5cQmUC2G0U/9z+npuDhKOA
Zpagia7BdJyiqVnEBc9IUlS3GuLmsSq0eefS35y1V1FWawN6b9UqOo/VGt7FaVHU6ZgZU+yZ/bR3
gW9kjgrnGOZ40Hnpiq5CaXlBzqpnpa9yYjzlcd1NbomaidtiQ+WW9Ok+sU/2isyb+w/kI50UcL8a
gNzLacxmPD/jVGIa26Yt3TjT+18s1LoEJEV2DERE+1HYgwNNbMiWr+aSOz9n6mzAFXtZqf/g6uBl
SWHThgB81THD2j2VmEpmFcUSL6Z7Nri9YXXmH+x52qdw2A2Bm7JXh5sDrL+brLH0cSqbD1katseM
l553e41uTSmHCrbHgMHIGVcbUYvkGjwcZbB8Hr6HIUYZkiN9TKXmW5eOlTvF09fbAbdn81XE1SIC
KJdKljaUvpTkyvsesetjkGu1Vzut+VnKw9mb4lG+yypp/KFHFHjKZZjRZ+isnaFvbU8htWGTZED1
WqOFOTOGhFVV+jrP6MPYytBt23oPb7cZhfoxqSjv5qt8JojxPq2wkPCpTU9elaU/0CSK/+AMoIX7
vyDiR7wqC5hgbsykCGGDqXFwHHXEdxTeeVgHKfXO03hzPDqSB4SjobpGLIEGRT4DuQpfMyXnCyWs
1NXgl+4cndfgMBIILtz/hVmt/lDHwAWub+kP/fhLWehH2uonR45/WnJ7rKXwsWv752jq3EDtnjJt
PBTSv6W5VwfYOlvxYKOMitCeQJavvisvfxNhUNKYGZpx4gzlnTKk1X0PSmjnu4q/ap19ixo4KD8Q
o1fGT3JfGpJiybmfad2/sjZILo6/d0oxfU3q6G3+eS+VR+54FU8r1NdIssXF+Wq9KOZkF1GD8O9i
1W3iOliR1nejZKGdvxRj+bEsg3Y5IluV/kmOQaIKQtPkTUyL8jKy1Qx211SzKGAti2fZk+q1+Rwe
w1HeMy7cOtrEzY9iNtLNLNbLUBFWKZWOCqqvpnH1Y24q7d9xKZFjrqU88nUgfroLXL/9gywKSJfI
0+CqcFdehp1NCAiZkRT+FMTdh1YftWPWISw2o2j3ByeYAL6A6RHIvLXgRVBbagTAtvARsg1drQil
k7FkxttbCmRqkGCB3lG/gbd6sViaCJudSW0LPx1ItYdpghc39M2xzaVl587bmjLaJJTeTeKRhF6G
Ssq5y8qlKgBq4N/s9mlla4cxXNpjOMAZgPWHxLKb2JGxU4vfONW4Z0XdCDyqAEVcBkbgLopIEgsf
GW8uhBkHFcSWlrvbd9/G8Mh4X57zQo1j7aBcKJOkSoBt/X4q2rt2WsbaC9O6+VIXRvkN/W4nOjWy
kR9uh904xejBaqrC/Q78ZX1kjwaCyRbKDn43gx+2KIf7dmNqXhKGe/bGG9+RULz6WCgCcSP+/NXB
gqi0mZGfZf6kGtFdPUz5uUROfue624riYChDh5kXJqiVyyi5apZoChMlyarcG1LN8Bqr2HOK2I4i
+AiU1HjFr9aE3k8NT04RBVTIb6DxOaIFgfXv2yeHjhaHIa9kcSBfjiXpTeR7JeqiQe4kn2jw2ho6
EU1/l0lzuJO6bqw/shCSHd6yOuXR1U6eSVD6cYwzfzDa6hG7Lt52JTN5qp0hOHYKLyD86JHKfvMQ
TQEtB5OCyiqF7cshjsi6yUIq318y/M/apEq8Ai65V2nTeLgdaqunJijqzBja/nQOVkuj1hCJHJIg
I2tW/pKUiAutMn8NRfPdHnML4rmbPaGIsXNEbiwVgfSyqEUIPdc1RATN/Tjp54miVTFYp8WU1KOp
NdbbUwSwNvAAwIhAPViDHZ2op/gLfdaPrQWm1QItfnSWuxiJE/S10di4/S23BsVaeUE/OHTrVs8u
SdanEOhV5stUhM9IzacPGrIXb68UCf79/6Ks1v8YxoOtw3Oh6xj2rqlG5V0W1t3OibFxBIqzT1wt
KGzR+LhcgoM58dOVjF3WB4Nngrb3kmnMjyrWXX/y2V6FWmWuOWYPObKinLYV78O0nSvM0vr28NbJ
ERLPzApVTFEoXQ9oLmLZAooHswg+uhTW1tdCm+zfb4/ikEEJhgJ43vUTqRq6KJzHVvXDnMlJFq1F
2jPeOx82Ni0dL/iigi0KIGNNMYOwjQaPFCs+yvUo8c/vzaw4IWXf4WOIyZiavEMs9dyauQ89cSeH
ejl9LhNvDC+p0qKzSMuIMsPl0pDCqARyBR8stg2koyJ9uIu1Dt80q5wf63yyD0xhjVqMs6C4lEWV
hwlL4MJg7H7Yg24d87lt7jBHUe6c2Vjeyble3Ad5Ghpvn3LcBGVqc1x5Jsnl5Q9V9Z7nQcgPtXun
O+d5ihzvEnU7OcpL6fvye1BoAc3H50DLiy7hZRjbScKeunDtT7VRhxDkplBDlMaufneDXn6qk0H5
OipB+djoIapUUZgXaOeagGf81i6oCHVaOSIDlPR9c9DSPkCGaNTQXB2rUBIitFPW3aMEPeGqEUul
jZBsmcqu3qlpc9ZHHHuOeadbvSvP6fzcDxjQeElVJoIvJte/4nIu/10SbOndvAi6+1Ca+FtzXQla
l5StmVHgKKLIzWl0pB4sptT2FiwKPzkFjvPHttTS36MFD82tkbR+jngLNcfbu+bl+bT6hILxx4oi
OwHPtHo29qRzPTUrSjeLtvyrzR1mkmkrvFAUBW2kKlV/RxEiGkdA8n3nTl0XohWkFvM/bT8oj/Uy
xs9yZc6/QHc5Z5UWhTuOy/I5SOlVH0gjwuFgKWOWIHTLRepi1Mn/16ik/46hVX7Q6qUWDWuuWlTH
Siv2Cp4qP9RAWT7fHur1uQqeiQtJZBSCn7M67HSp1OIwcCg+zrL10OKK6BbDEJ1kvE93Nqo40a4+
qtBsYXx0w9ZnkdEZS1CwtnxLq6sDYsG91wx5s3PHbkehzg8RlZ6ttbqOMtzdqqmRSt/MusqnydE9
RcGu79ZmFA3td2hfVG3sVRRnQI5Yx3fdz2DuPs7IIJyAGwTv/mByKONTwAALhhX55U7Wkkp2moWx
FClVtbIsIm9YULRBDXnPces6s2QdULTgMgI1BcztMlSG4xbqL2Xlx13WvBsmWfnUNkl/DI1x9lEQ
0jx8xYoPt8d3Xd4nKN4rdH64A4FOXAatcpS3wDFU/jBO6ieTdOXctmX4lFsh6mmy1GLtSnfPsSRj
542/cWnwVHy5LcD8oCW/2uG1Y7VSYFOeUpG6qc6IdaahpySG9T7BKuOjHDs54Pmubr/rRmD80BpH
rw7xJAX+wgH4aRzkjk2ZlPL3jt6d6VZy1L6vR7Pu3ZZavrlzIl0Xl/i5gMFBBZA6Xr0AOU6jiRZX
CeBqAjWao8kyuErRfaG2lJ3GKpt+3p6avYCrc0FWokBNCpaebKUf+qEwnjF3GD7KyLQ8hcGbxRjo
8bwgHuEzC4HJ1ZVVqYHRND3Di9Ki+whht/+gI93xeZD7Y5CN/c7sb+1euL+sdtFBRrvkct0pix4V
RcShZw9l8K0FDeWNaTzs5F7ib1mfd6R3lEFxRqDNsEq/0WXW7AC/LB8pKgyLMOr6hElD+26epPD7
22cLNqLAHkGRuQJaBUgt0s+3CQW18m+kCYuzFMkOIoCO7dtTmO9UW7aGRlMMQjglQDBPq4PJqeN6
rsMahfbczN5VgaV6KJ5oR0VGdvP20DbaDcKTVPDDiCZQIZeTJcXBgJEX9eqITkB/SJPYNl1JG/se
23DLgTJrN4hzNompfVILE0cEewSNfNTq2b7DGXqYd94Hm78IkCD5FUoQkCbE8npVI4kgAqVdThct
1wZEIa3cwFs8xmHE1ySQSUfZqiUPJ7QAs2oJ/umo1fk/drVEqRfCuPt6+wNt7VRSIWH+yEl2le5J
+TzOfZpXvi0FOLOYYfjZiGScreHzHyUlW3bM9zbj0QyFT/TS2lptnmQR2m8qe7WhXAkqQaX1Uyhm
eciHzLyfIbvvOa1cRyRdYGnbsKwptKyvwWheptkpxOouEDQNagcsmB7/7s35Sz8X8k6ashWNYjPv
COorgCRXWXoz1VGnjW3tY/ZWJJ7VTMYBI03rb0NK7S9TIpnvb0/g9WaCGS3ahHCjYauv3y8VBuJ8
yaShOyrpR72V249tNTaHCILdl9uhtsYG28KALSaUD9fIQZRndU51o/IrYE+fgmzq0PUMZB27O67c
OytNmnxnt1yftdBUQLSBFkMkhkTocrPUzYLEWc3kIaISH41JTw/LtGg7UcSkXJ61ROGEoKdFNZ2R
XUbh/SFbUTJVvtop3bt+quXEbZcx/4HM4fwLKbHogTdN5KlyowZImWrJziRuDVOUQYRqJByTNfKz
MPJsGOhD4sSIEB16vgB4nTR6c3ILrOtVlNXes0wkVhKprH0N5vSh0GNNuN3s2cFd54JEgdjOtKGM
jfvz5cec9CVu6mliB2h1cpfOqvKtV2L9OBpN+WGWlGYEpRNMO+eKmKL1FCL4IbqSiiACr0/VEd4d
rjC1H5ZlXbtdG44fSmnKv/PoGX6aSRAdA+AtuWtA9Tjc3hdbW/B17NV3LbVQS/G1qv28C7L7sjWk
Y4+011en25UX2hymkFLDaI8C55oGZ/Up6vaDWfkGdsn5sUwrBVOoVj8UikSDRLd7+4TzQepbQ76c
bw9zc2KBf1Mv4Z8rDQhzAIushUkNg9y4yzX5nxDJUWQ4Ouh/ySkOx1+3421uilfxVrsSLV9niWvi
mUHVH3QbEG+qBm8HXbNcKarAORKmt+vreCiQtigsJm8YmgJyMCl4zz17uj2WrSUCfBNRJiYNhtPq
gWTFCxzaSsfMvujDM307TrRQGT41VCw/3Q619dleh1plw72E9WhuskR6zCoMj+wh6r281oPPt+Ns
LQdQrjwtuVnFNF3uc8VoLKBHfe3PliQfuiTKfxRhGExCc3R5Vu1BOcr48GQ7m23rEiJhAdgLRICk
dTU8qZ+GJNc5xLC2mn9L/ZxR/sxsKksmflJSM2t7B9rW3JGH0EAzoVWRJl0ONFTMMRtUVgio+Ois
FY1x1stwelBb1fh4+5u+MAtWx5iQKOOTkrYiEbI6PK040CCoTI1fy1l15+Cd8GXqrdxX5KF9LLBn
C71lVoF3wAI5OF1qPU+Qyr1Fd7p70KHWl2KKh2djjBr/9i/bWFXCzRJtYzwjeI2sflgvxxldMhB7
eT6Zv4p56kMX8fwi2rmKN4rB5GoI74iElKfa+msjrM/5pWOEJ6W981GpzPjY2HH9oMt18AhywP6a
tnVy0ifT9sHXOV+NGSHznV+xMeUUMgwg+5C2oSysFlmoaTPIVgCXZgaYM+ql8jQPIZrhUmBNb34N
MeBXsVavoSIwE6uMFeH8p0ne7KQmSWpXektjLMfbk7g5LNE7opCMK5JwQHn99NAKlG3SqC39OaOE
3Bhde6eGcfAliKpkZ1Rb60VAnsTTS2D+V6OKYYxacd4LfmVi4m1TTt8LxIR39steFPHnr95SWrn0
2QLXwe9jSHqqFZQfJ7rob+5RwfxlLQoxUgCrL0v2VZRpsVL8vYliWMOI8nOgHXtr175ka+UbgAJo
Roi3iqGv7js9Z2oqlUWnD/3n2ZCaDyrtbbo8kdub433djKdRwQ9bMSVvAZm/c71vfEvCU0ihcg1i
fQ0ybtq8QQKbdShlQ9wKJr1w/O6rPWfejQOc1BCKhniwUGNdrYyxmytTmG/7QLoi37GX+pi1su2C
GdfuMIXrdhb91rgAo1OetjlQOFgu18g4UDZHaKIAsa2kv6bEkT/K82Idbm+tvShi671aI3iqW01j
BnipD0F17Mdq8Lq8+fftQej1IT5P5Ul0mi+D4A+KZWNoFb5aB+pjIQ/mkcWwp9ayNRS69Bz2wOrp
3K9OiTofhyQrOOoVI48fhqyLHo1+MnfSlI0aKugsPDjF044Tdq1tJ1S/40UGnd3AoPgrTZLhu6Jm
zs90stoz3n+xJxVOUh2tKI+9ORzsxZvpQLltGMwGzcjUfpCHufxFF6D75gCAPDZBm5zUPs92zrKt
FYv1MYAuWjriAXz52QN9sIwxySnXO9pDsQShVxXTk6r235Hv3pPv2Pr6+FApoqINKvfq/sOREmwe
sFRaV9VDHpr6fdEqSfn2G45KvdB0g71kX5UNdNMaMLmElK4U0fxzbCRMaWSEzyNq1ztPs60R8b6m
8kKeaGKAcPn5HGdA8x9XdL9cwvwnDCMF41Xz7exiimlgjtAYYlTcO5dRpNzI8iTTWLWdKj0GY2Mc
xnzQnvLeDr23b0OqVyAJgIyRo61OsLpSKIpqhNLrMj/kY74clnQ37dwoSojZgUlG4kVnXKzKVydK
FJRI7AZOAZHNHg+TE3sDyjtVGzybVvMPj/nEpSuvuQ6ouJ3FsTljLAGUceCDcH1fhnagGStIDeJ+
2iLL1CiD+lNCZHbnBNiLspqxcJGiJWsYYDYZGNTUsR4/6HgT7PQiNr8jySSgTF53XG6Xg8H1hySz
QqcgKipMWwx5xik2q8JTHPXTe12KoieT7tQ95jJkmbrZ2zsXkLi3Vzm9kGOgV8AXpVm0Ok87s1fm
KIIGhoSR864MleQ4yJL8YW5G810RI0ZsW6Xl8x874c5Eiq11FRq9Mnyf2BYIa1yOPYqtLGolwKid
YzVPKtSz77kyGT9L+OP+mzcFpyMQZpC2NL/XL5dGMuoa+zoQoo4pH+NeLZ/kRDW/3I4ifvB6QK+i
rLkgbZhGmpICec1trUEvMwqfpF5pz864zPVpmeLqiGO2le5M4cZSJd8X/Xxaw3zM1VJ1+nho05rB
5aPRuRokEDzF5mjek9ncmi+6taSYBKGvLv781Z6vKrm0J7pYft+Vx2yu9KM9Jt+qupz+YEDoaYg2
FhntiyH860CKuiisDQLFEf6luDU/B1jW7OTNW6MBNaTRD6ZJqq3vTZscIu6xavA1mZ3VVf2zuZjR
Ie+T+e+3LwuSO3TYuZ2Ra1ylzuWAr0mJF7Kv1QOeUXCSPK3ERz3tu673MsXG18Muqj3f9K1lQeYi
YKA43hvm6iIwVbnnaImFosWErZZSpcA48j2Jjq0oEKs4vgQ37wqcnC1OmksWQHYjydFk19TxFFu7
CcF2FCAPpDngftbqHFkPFkiru9y30Zhwrbov349amO7U9DYOY5PVhjgTJyHg3VUZoTOzqgLvQhQn
G1BW6GTjyGvV/o5jU+mFUW1/Qc0p9YwoxCXNrrEvu71SNtYkJDIVHTa6M7zpVjtZahaF5zxo9mWB
dpD3MOWQIpke5rofdw7fjS96EWq1OjA7SbQkgjcKQ9A64GT3S+NC/6MgYMJUbjdI0+JHvDox+lzH
/oY+FmKbWQ18vf01yKH59qchEEBKXyDDEE5ftycqpVXzMeQKLeSo9p2Ry0PhibBzJm1NDQ4VQogQ
7jBNpsuhaLmGukjC92qzsCgRQuwkbzCy7jFupPHL7WWwNTf/Md2FLDm9pctYsVbrLeKMgjpR0/F0
BPFNDqu3Zzhc2iAEBDIGrY1VHlVLsE7AobDYxsS2XEWvMz+d5eWv24N5wRevbkUAmrzdgWra3MGr
lSZjm1wl8UDum3Tz+yFwUp31ZpvBlyYd++BBRzypBbyYDt0hTo3m7PRtXR9TjLkeLCTou3M0TkF3
CktTf0irzBxOWgOO6w/WKkelhXkZtU1YApcfvWppYpdjkPvLFP41Y7L1ZCtxvtPk2jhhQC9ScQKH
JKwyVidM3srgVDVuNqfHHaiY4MKH1vDVMLoPkao9asnwbuiQckuVZQcFvrV+hUIcEkfwxa76IyPk
7EHJc/Z7ZVgHnm/yMexKMPZ1mu1slc1BvgDq6QMJ3Pnll0RWYKkUEwJXYHR/1xnai63VnCwn+L5Y
y0mKJ6RxtB+5nu1smw3wAlpcNEroYvAghj12Gbjrg7BOU2hquOKkJ1AXg+XVRogrWq22n+xGaqxP
Nqoq72C6DNMxhs3THHttimmbqomZ7TwtNz85Fy+YFco7iNhf/px8wMc0Sp0cmWZgHYBjJayflGw4
GgBy1J3lu1EG4L6gdArfikffms8d62VaWxrJtBLLxgFzIDLQsB5Ax+rUBqzUMP5kw4j9IioPvNXX
5JA50NUlw/PNx1gS1YhZMoZDHshatzOyrdOQagA9MJW5RbXx8jPCWOulWbJzf8DHFrX7YfFsgJ07
ZZTtKDDEUXSlob/mL+h9pTEcUNxlDPdPMqrqMUwm5Xj7MNxaEmITkj5zw6PKdTmW1Gxp5g8aspCt
k/xdVuhPOE4Y/syCUX77k0d06/8XavXZ9KWNSrVj9ZWSnB6yuAp9W0+tj7cHtPXZwBCLJEEAUtes
HSOX+oqyMZPTt85hrKvwsACZPv1BFPI+kabzv3WNWw7srCwMxsIrMv0bObPANbHj/ed2lK0txEMK
ViT/QMhYHc6UTaKF6zj3AQH9hJ35Efc5x8saaXCTaQ/VsfFWhBtGLc0QadiV6C78C9nOEM7w56F9
imysE6TcnD9wg5qf4GUAWNH2lKa3Fp/oFXA0Ml8gwC8XXz5WlgSWr/B5c9UeWkcGFnnK4gnI9s6e
3RodJQ3Agdhn0JNbZUuRkg51KKncNnHff4qVBjfkTjXCYxsswbcOJ6QjsiV7u+tqMbIE4VfhXipg
iZwWlwNckmGKRqstzpbdVs9amltemVl7CHrxt1zkM0ThnQ0VlHcIs7faWNSkGhkn7/w8Vl1pP8ym
nB7NrjXOdmRH4ylUG/Duysi/VcpF21OfvppEogtZaBIINENoAV6OURpA1rdxlp2hMjZwXfXI7WIc
LpO03btSNj6nAKxAfQFNTE60Wi8QINQxMe3snAS9Y6NKLienZtLUt247Sq8vJHaToh51pFUJDLHL
TkPkID2znqL7YjSCH+iqtl5o4BrlpYpZHW7v8+tPSL2LLIj2PMw/bf3Kivp2Mqa+Ts5GFDUfHUke
fwf12N9BWnF2UO7XKQmgH3BbQlQOci0aq5fTVRhzN0RJk5yVSZ88bTLGhyFR5+dhlvsfTanZR1nq
nQdnGNuHArOVc9kW8fsQzNXOoK8nk/MTfpnQ6RFzqV7+kCE32sDIcwaNyfi93KXlKU4SZSfK1b6n
L8BjQjCB4E1SkVpFidAD7io7PjeyKqE8MtkfR2eYvTBe+r+aSZ7f4zctv7kiLKLSywVtz4vmCpdg
o3BCCWKOz3I/N596TZ4+NtSu3wqDIwpxcN0Bpc5LYfUFJSRQ7czQ43ONjJuX1l3v1tQ+dr7gxooh
jEjlkCEUH1NM5Ks3s23mlRKORnzupqplObTVJ2D55p0xx/UpqawIFeBIz1xdleKPMy+rQzkM8S80
ZoqdDOLlLLk86QTGALqTWL6smdVsxvnQs6Kr5Oy0lr54BYiG5rQgTfzkSE06uEFEfe6Ahoh1VCUH
QqFE+Xo520ul5R4epsXjvEQKTsDWYP+CfZX/rEtOFZf2jhwc7UWLfUMyFuOEi7P8IdCr4SHrbPtB
GlvgvhrrRceVt8N3IMQu5s7Sx/QZnUL8hyBz4SpM2zt7P1ZF+pdkI4Pp5epiPOiTBrCIXHJS3Hmp
sf1Dt701jkVRKOcwDJX6hD09ZikVPd0PXTzguy6RLdsMJy/Ug5Y7WXVQcJAbHzLEEM17cw7GYxm3
KN2Uc10rhzxNx51D8OrNxMUMYA60LN/6+snPk6ZZZC2SfLTIwwDaWT8c0dZJf43JMlCwFuy0eFFk
N0pKzGX6bC85uL7VSOEo61IIAPt+Vd+IRq0KebYlyLJU1clauuphKezm2S7b4VHPAvnvGeAd9XNn
2Flm1yeTAdjDVhC7A7sHaOtywZujgkiSKcdnRcrso9kWQGcSvI5vH/rXH5hnN5c1VjYc+TBTL6MY
qV2bSmvG53gxtWejGJNRNDHV9AQfrq1duBtYsxjLbNW4RZI/eLWZAWK8/SuuxspLkG4PhwgIInb3
KkPJtRDgSyCFZ0cyA9lNB8yDM3SpR+92nKsrDjcHUNDiaeYgEbBOyyHzxKbRLPFZG1L7PWUz1nsX
2+qpG7plj18ljoGLY4JgFEwEfwf+N1p/l5+2hgFsVVofn6VJ+Y1Jn+bqs/I0OtLzIjU/3j4wmxsM
KUjaVVd9+cZZ+lIqzehcqkFz7LLAPHO31A8BwNPT7VAvicdqXEIRFmkKmQ4VXiSX4wpKRBPzLovP
plUmMb7flGOHJZxDd+4XE7ynmbRUqGRkJwPgxJJnz0Hwo5pj6ceYqvYvML/2z34EQuWqEMhRNMyb
wC06K39roYFiNc140Aqc1UgtrX4oIHQ1nzDFOw/toHhmw800dHbqTfa0J86zsYBNYc7ARNP9B3N4
+U2aaYzo2bCN7ASpQcxV6HMpY7CzTTaWL2pfBoUM2uUC9XMZBXU/3V7CNDnDvY6OWSgxFk1Ojkta
7hEwrkNRMRLuQhw+nLtrelZu1uHS2JHqZ12a/pXZFBYcrUq+hA097dsL6io5EmxKxDRQiiddkdeh
CnLOCgEV1dca43PehPdVH3/kVvpZz8VT21Rv3iq6ALiJM51Dj8P98iPKMQVrKCSKjw+6fQ56DFYS
Q63uMwR+D7dHtvERmSqASuQsLMA1w7IBCBnBtVB8ubA+L3a63AHiT11F6qKdy2IjEuQOOk3iRSKk
/i4H1cOkgxCvKH425xrWvFXvmZUp+7YF7uz2oK6PNR4/yDQjV8yU8dy6DFU0czaaNhLAZTh0Xg/j
SMnS33YiHRoaGzvBrvcVwbgWYCrjZEEucBnM1EJVJtVT/ZbD/FmOh+Sxk3c9qDejUEFAmUb4dq3h
yQrw4woCleJ3rTk/xYlsHuUo2XuGX6ewLzwHElhLsKF51V0OBoFu7HixE8FBsKqPU1Lo973VTh5c
bKqSRhPkD1Lcpd8bpc9+Va2Oc++QW8ehKt/sp/vyS4RSm2BMX5V0IjuEyVdZCvqTo+Upo0L+ajjV
KaverqVHKFI3chkaXRS+Vyuz1fRCikHl+HbUGA9xXSTnYm7eLCAtoogXHLqywgpyHSV27NRJDAXD
Y2W8awu9PwVL3ew8dZSrbEloD4OmhsAMNIWW6OUMRkE92WGUcioaGP5MGpw0F8mh0COBnzxdqaEv
S1pHku8MH6ISRW9vsYz8sXGm0MdQqnXLUKLNkNb1I0p6w/0cTvVhyOEWuhqVoSNGU06+s4euzwZD
mBXScaAMiPrl+kfbrRQnjY4eYxI6Dzm6I243OfZ9tFRvFk7kWgKtAwQOViop1urGlaYpsHp9gj6O
BvVRsTvDU+x5z4X2ersKZBCLCWEzymhrWDvYWpkKvjP7eZiNrhV3lZvl857k/lYUOkKiGkJHCiO6
y7muonxB/j5aIF5Fo0cVQz1Unf3mqhn0OPSZ0NRVuAbBh15GkSrJdnDNnWCy6NqDHRTmv3qPi0dh
l/GPZllQMomc4ntWdurx9jn+Akr8/3kcKDVRnKYJI5rqsJVfsJ6vXtRLIs3mQnHFL+tRRuzanYO2
D/KD0SXTdAR/ItKLKLUL1rSl+VhiJ4NfJVQqEUNTmjY6OQ1dtY9TYchJ7Hdakqnz0awkVR2+9hHk
R8NtmCzlnyau2kWhDG7HReguEiVSb1QRYLIPMuJL+WcJbr3lNZmBlL0q4aB8h+T2Mp3DoV8cvxqa
KT3xDtZ/T0FEvvIlExUC64sM2E4uT0Y/9Enrl3kwVmzArDBnDRWaOOWOrxvDDE5hnweNFyU8ddLI
jS2TchqwPEluodLbRdpToQRKqcIffJqDGtrn7IbLOA/Fx4K6ilTB7UU7IHE1s0v/MoJ2TvyOpLM4
VkmU1N6YaUYnPcdGNP6eyljPvTlXqxqX38B8myeo0Lggf0GeWzSzOFPX+JUQ8QLsv2jIBsXiHMyg
K+5TO46fpXku91J9UTV9tUT+i0V3QSBbSSrW+Mw2xOAnmwBNWiZGHsh8VF8dM2ru49BAgrJXaPl7
NbIwH2VUdX4HqY6qVU0etMe/vtyLL2Mm2xXLlIWKqufqXAnrduKjgjII+jl8Py6ImGKF/qbnwn9B
UAdAIpiePINdZdep3ahTrJk07hQUGV2pCuL3w2TUn/H2Wf69vfm2BsRjGzo5TQceJ6sBSaiPYdsj
OpDc8x6G2qp5aGpHKg47cS6ztf8GJdiVHJQILdAnvDxfQEoiWyINlR86WfIpGWUzdKfciu7LoaQE
1fTl/A0N6s5wqZlZj+M8OqmLQ0Dd3gdGlIeuETl4szdqGn6prBjKlpPX9fOULNPkcs2yjQrHGrE9
WibpJ6qTweclzvp3QRYaPHgR0sfwLCnhHDpNWdnnKilgP2ZRM321mnB+bzRIE2HaHThuukytfLBG
nOfdoq6ip7IN28RDpEYz3TgcGuPY14ryEz2MacT4Syq/wTRstFPTqNRObZ4OMjKQbfWXCk3Pukt5
LD1KEi33vY96vSuQXBCZInw2Tb6SQiiAIWUtnVdpckC7pIHyjnrj8uX21F1Wnv6buddRxBJ6dTwn
eNepRUonjJQA0aDZsL0y79XTgIrU0U66jMmKqs98qT00+2WW8/8is1xIpESiul4zFelEG2YAJwNS
t7PW1dMx4LT2FPwHPtqtMp9rJYw/26E6vAsHhb1ye+Sb8aEo8pgGy3x1J1Z6OEq1Al60aCMKpmOe
/IykdPLySsqeqlaN0HTU53edNDhf46pRdiAh13sTKUJxsJJQGnAWV2+Onlcq96Jo4AepfWdqw/KM
2MLekfaSkl6erdSQeV6TyqA9QBPkcn5bJ0vbIUMbiSuur91eipzoIONUbMCJUqwJ3cMkdzzkcpCS
UmaTopvp5EkLViKp/rYggX+Jek0K3Tpoa+dYD3X3NBoTGqEWjMP3ah32v6vQRsFKckr1oVRG2zog
ZYAYmnBg+FdT5uVrqqtTDjOCXMFtLWuqvCir5ZgLTae0swxNHJw6hAPuqzr9P/bOrDlqJVvbf2UH
9+JoHk6c7gtJVeUyBgxm7BuFAaM5U/OQv/575Ia9cZlNfVyeEx19sZvwIEulzFzrXe9g5sepJ2+D
Z+9WF23fDm8X8KhzM9Ltvk+eC7Y25JlsTi2Qyk52LB61L+och6BkmiTusZVHHur4xre0c8q6x3sj
SM22++JZzQDoNKEcmlVHEMDmV20rx4C7tmpXUtji0DZJE1pkDJ7zyv3ZvTFFhi8H+Md0++TejHL2
1ZKw7a8yrXaqyN8EnUZypJlNZ3aPn7zEBn2dfq+RJgDspHpdgCNHo7TlAe233E2zre/1Zjo3lXm8
R2GpD3/xnlnEij2Zupqq8dWYWQ1U9eQj1coU2SiI2a/1qBedGZlSu15b+/jr/eEnnxvOnSxNuleA
8dPYVZkJOVg1xlVwYBT91/x1sdJ3uRB3akg+/fpaP3mObIFM7tgQgMkfPccCi5VSNN1BELodpYCs
cW0H347p//q8/Hd6J6///Xr3//wf/v0Z+6ouT8lrefjPf75s7sTN0N3dDc9vm//ZfvTPb/3nw3/y
k99+c3w73D74x04M+bC+Gu+69fVdP1bD/UX4G7bv/P/94h9397/lzdrc/ePJ7Zc6F3HeD13+eXjy
7UvHL/94AhkEzgTo2X/9eI1v3/DituZnb5q7z/lt9cfrOxIRxR/y6x8fZbrelrfdcPvTX3V32w//
eAKw/BT96WYSvM377r0l57vvX8EPiK8BcWP7sbHTBXHX2T+eaN7TTfgCsw67DMgOAO9P/ujleP81
/+kmJUSUc4/GwVX1n3z/ox98OH99WH8Q9nctc9xl/vHkvjr7cYvaLoCJGSNyy+AhnDagKhmdekjt
7CgGW72S+DB9kCm1SpgyqtZCSyXGM14DoDf6bOMCcke+RmzmcxLqWK+M0I5MAVN6FnoRUbQNrxoG
cp+GKmjfGTpCnpBwx/kmT93mjWpXc4gKTDDXUPZ1OZN6pjuMPO3SCF1/Sqdj0uTZEvdzlnwNjFUn
OFSAyIQJ4VPMzgpEb5Xvx5UxFG8E4h1sMVdLvi6tnhFfAEWjxs+o0d2wHzLz/cp3m9yC9akKPCz1
2ob8ZipL88prGAjsNIj1R00yDqr9YuxeG8ossa/wmix9nSR+msfLYJUXuif8t4G1fJZaLV4aWtYb
l16Ky+vObPsBqmPCUKSi5/XhhPTy2yHyf3pBbZG2bD9/v5zeswb+eHZb5TVT4Vvx4wr69rPf14/N
+44ZOz06luWQEZ/88W396P5TJpkW1g+bghCz0D/Xj/mUAf6mqWXNgU+CyP+1fKynjOQ2RRLSOdyM
IYP9zvJ5uKXC0iGYmV+DfTDW0vCeTw6NWVNKBqudXjT1Mu3U6huvq6A753Tx8KjdrgLQilsjkmUm
QMB2D8srXZ/rzMJ15dCnS3dRT6mKutFrd3VT/LZWbLsUGD/ALtsSrrgPL1UlnTdnGELipYr1Gx50
jh8ilaiOa9+3ERGt3n77Y+poWArjww9vwLe96ce96PHDpIBkUMk4jv9B7n14bduU2Ei4uQvwbyRf
cox8otQc2i+/fRXIVXxoXIpN7zTXxtMLb0rE6GDentFAZn49vR2Kxj7Haf3Jh4bsDcndRg/atvOH
d1NR32ZtnVpb5a/vpBZMcbeudZxD3Nn9+pYeXoomB3oVZoCbz+aGVJ7CKJnPvhXMhncYfOm9B5pP
4rx1gv1CislvDWf+fSkKWgbs1BF8Gtuf8kMnhwuIRT6s9A9pNyefzKRei0gtRn5ZDirJzzRPj+9r
s/ygQSAvnjhp76Tww3OunpZVCw4Cxu5hcjX/c21qMsoGaf2e0dd2Y1zLwXYAsQ8R2aeJip2bam6f
u8HGP23wxO2BGGQbFGee38N3/PtlwCs3F57NwPHh82sav0grWHDYmCD5qF1kVOjJz63inz44uHZs
cJBOKPYeXiXXAiEqIwkOsz3oIpqXcY2LaRjjpmy7c03OT26J3RlUbaPBUcGevBJBMeR6n/jcUtY2
odEuYyTN8lyW6aPyHN42258J5ZPUBfrZh7eUWSWllkyTw2p31WXQIOMKS62fbpPJKJ/Pi5m+rPGR
FOFYiOmMpOPxHTJOw+2K2TF4GkDJw2tP3txPa9qD3vZDEOqTHUSpIc/lQd0bT/xYiuEABxdrCxsP
8LajrHl4mdbzx64lYRi/3J72xvMGXY9GQxoqnKwkL/a6nfjEK9pWquN7N4/YNqqpqWNkr+UXrU4G
KjC7HESoPBOU6nc3GYINGMeyz7AEIIE8/OucVWqWUSzBQcdGNm7y0Y4SNHbRWDTd/teXOnEi2VbJ
ltC6VcBYESEzOXl/BR4EpQaN5mAgpxl2pTmskUC/SSFoSLG38sAKGcv01yPyz0gWlf5ysaR1jlD0
eBkxGeYo8unPGPedHkhJ56Sdp8vk4Ix1H1U+7XTd1FaMNfYS//qWf3IpdtRNOMQzpro/ebo926k9
2rp24BBsL9bW/DjrUJbquQjOXOl+DPPwNSPIDjyKQ2njq54yLzQzwyBOdtpBLKJs4fbpxnpNvr2Z
htJVn5JM2EdnTrPpWeZVSCEDAYJ0UKadaOFEEo8dFilovTarouUnCv11QUy1CEtKBiec4E/elW5S
yUhmbtNE+pAMzS08+wKJwqD6PrT7tcXfpbbcKtazRui/+6Zu5kLMCPEZ2iKQTj82Y0410aRpfWH5
8/tGFH2cCrzBanc5M418tC8gNGfJor9g+MwA6mTnS+SkdUPZiIsFr8TYk727C3AIP/OBPd4XtstQ
ErHxbAzN+6//cOZ2KzpB6ShxYc1mB3Q4Q7QNHIwRinZM40l27QXe082tk9bjrmOY9MyoUjeiGeoI
Z3eW9lZterFzT/meHP7gReLvAtUl4pLynCb15PbTaplm2RTdBY8XE2pssKwgdFK0dYaqlXflymUG
oKuIXtgRylOjABzT9Y1hjgU8C5MMkZ7ZZx+3Gm77bT0FaYwXbVfsiAnKnYjITEFY1ogjQyjmZrnr
SiCicLHH0sJQHr1FaKRGfiMN4sT3hP7oS7joarfUov+kLdkwH9bSx2xBy9tRQwRbFnqk1b2RhWZp
c/padLzXemKDXsEyubBdSQiDcirsRFH3DyEUbS+5MowkZyEm9nwnskI90wrdX2JVJ6uImVUVRWwM
jdGGrjv7r7TR4Vzqp8U1wy6Z6iX01DS9wI0AhivmYaMVCiYNF7LKJgboRqlnECO6lpZ2cjotxDDB
es8omExLImoWutmOtneXpNIYojb1l+Nke9PHxoOeGma229Ig93LTBmidfiwXZQORamL4XJUjUt+q
slW2M/Jq7ohz8/M9wWrM9iydb+4qZH0R8NP4XPl6BWV3MVonHIi76ENGqOMUV/3c3a5DofxD33WQ
4nC86+d4ssf801hkXrOnFASULXzCCyOnKQDNOqg7TFPQgxihlY6ENNtaz2CzG6f03TwWGByvmbuq
EPXNsu48dzaduLYWb44W8j7asMwwPgupbNoubAUkhl2x1M7bOlPli6L0jZtqKoYr3SjZPZivqGy/
MGXMwomfMMO+mdavqUiNLsTFprmmT8ckQcEpNJmRFm0f+YnmBpFcxopxTGMGV8ia1L8sI8NJh+xy
/2Pbect6MRuzus70WvMPlnDcF4pfn4eLqLqP3dA4fdQu+P3tJkhDEqMX29n4a7Wu7wtDMcbEyjmt
ceFU8m1LkBfbYLV4nJUIZiIxCuPLvHTjTZm1gLWM8eo3hD1V6gWiMu1lyxwfD7bRbOXerYnJwwi7
dI3Q9+pehZ3XivyGp+zHRNlJGdqJsWQhwLkh8TOueyv0cI17xtA6hVHA8s1fkMBlXxb6KOzILbMF
Gzkjl1bk9vNM8G1hLO/SZLLviryr3gUmpSNPvpwvhcMwK3TMtsD6uXJuq6LkjCVlZPhoFa6pWJZ2
9TVDg5bEOta0+xR3qypMgvVFsgTuoUSN8FnISkVmrtV1aPsF6VJJbRhl1HttIjG07YsbxjDKidq8
Kz42Y5ZNe9cQEkelmZl6bRTGCMcDCmY0Bymv5mr0wRgNyp2ieVxwwHdHez5gKjex0tmmP/aaZ/J/
Z9llseqtLI3b1FieLzp0yWpVQVSs2Uxm6lSuF5oMyiQshZcCYREOOLCxYBoRj6mTD5FCO23s8kQu
pMsuhf6qhSr/pU9XB3//sjDrqOKI9Xba6vevOmnO74deOFpoFF1zY6q2bPm0tKqhVkmt50W6eMsu
IPBQxLoxWCSMlGt7A1vAIB47mNP30rKRaeE6xeakT14sSofU4FFYn7Mg2Uxlp6KpduhisxfdPKTs
QoQovtbtAg4edmnOkT0RyhzOGizkHlZqtp89e7qxxrQjp2zlNA8nU2Q2owh053zyllpfd3Vd7+zU
Saq48oVz03oaMNrQ9Rag27w6r/NemwXDzLn391i0LXo4l9NhTCrrg6aQovIsxiaHsa/Ld9UKq2AH
0Gx8ISjF7yIah2kMfZgW+KuPOjGWXb/Wt1o+8zeCLwTI1BI/13er18M2UhqGx6wjA4I8SYbJjiFQ
qR+ktQosNBaTZJUyz7oyrLKVgqVt7HoMkZerMjJa0VwKr1jLsJsrkreSKatExPCvfz2sku16nlvr
eZuRDRISGNP6Id07wsmWLbkOc0tzYkpMpz+okYe3K9lMuyiwc6OOFm1Yv9q2dN52DPQ+1PNaX5Np
MvURcSPkBHWBq2Qo8AGR0TSV7V2u6+Odbs5uwFLqrXck+MzVpa4L3Txk09RcWb1Ki9AeUmjbqrMn
EbqJS0xz1Yj6xqJyeluXov/oJKawQgtJ8askEa3Ye6Pybqp2Nt77RoDvJOOQRoYduW01sOyq3Xi4
n76eBCZmjKmx590ZCwTA0MysRWO79ayrMZirj5VZjHc11K+C1GJFeJ0LniqirsMaP0wgmiyhXan2
shzFTNIpL9rtoLznjL/K14U+4AjlLLVpXChZzXU8zSTHsXZSRqvW5JpfzFUQs9B0av7oboAYDric
UrB0GlazMnNJp6IcQiB6ozUPXTCX/YukSrh26moQMtc8s1+xUcDhsYkC0MPC8of8sORefmFPde7u
XGCqNWI8k48XfgqXYj9YFM+XIu+TPFJD2w27prVsjbe6m6dDkrXlGifr4vmHzA66ekffod20bTkq
FH25YiGB3cULlme8GTiutYhd6u5AaNzQvA8Sqk2IqIHdH+ZK+H3spYP7bM7LROxtzBI1eE6L3UXT
ArQdcm4MzV5Vmuoi0ofqJWa0FLzHUtOl5O6dgoQipIVFbOPrOUcJAUNNZDpSd5/pSaYPB4cSyAjF
2qDnWlSrvzMom+dwCyS5k7qZQ8uRq5deWaDVfoj9QruibjGLzyJIsk9LmcAQn018Y/fe0M1X8LJM
D+WFNbgxHt+aYFvz/DdK9sNdNpXdcEiFNzGuDexC3zmL6q5ne9adiCXTdzc6HobPxqQ1r0dlr0k4
Gdg/Wo05iF3tD215OdmJ9VnBe1kiXYf8EPuFmxxdfsy/Ek2tpihVOuQCZ4DCt9MXzPbDAg+9kkUz
lM90Qh6aa0i/nDR2Z7RDrMMUvZhbCEwh7s61CLVxxNbJcPoXo5U31Ef80UcsURVdcD0vTdgkQ/Lc
x0ZyjLt5nN7jx1uml0ivNXWc2Nvf8Xakd2jVRBeSTru+X8qxvC0GbEJ5RVTdUsiJ/hUBMgyNhcjT
bo8nS83nt1Lr7BAxUkPUFOLui0Ta9huRDTx5Vy/8z4NYhvzYWY1OCZu33hymCxhjpHVTERxT+qIe
vsdkyrC0fPFBk0qyg8ms+LyOGaccEKHRH12V1KTgGpUfjlZi2LvUchNQQycQZuRNBSk9lkpdcoeM
2dRDLHj6NFpcLS0icFtODlKXGgZ7QYd95uCv3hiNa9OI2Gh9Z/6UWpVWHNyBR7qz6ajFTp+sPI9h
y6Z+5GWifNvKyh1CapfztrpbA/uwWQB1p3BBd493OHvTQ/iALr+0mlyXFyLJ1kvLWLpbkPV1iKwm
q3arKOu382rXr7xSNUd7SOBpNFV1RdDWNzuj35qnPM8/d7KXX4eH08j/5WNMXE0h8mz+bn8/eAmZ
uTyYtvz5M98HLs5TTEqhpiGA3vpaPqjvA0v76RZuQw0FAIyQjHb4+8DSf4q6wsFOFeLnNq3ZHHr+
GlgyvN8cV2E1b78ZRdRvDCxPgRLaegAhYHtGPJsSwXz4Hi0anR8lxXI0Ccja0WENuwI+B1Eh6pzf
/AnJnfcVSQHqii1JA32Avk1hfwS7WwJqZYbA+xjUM8sCZlaMjHqJNWWL51gVZUerX+xD6oOF6ZC6
nk92Ox4ASs+ZI9xbe/y4eraJBemRQPyoSjYs6uFfQqZv10oao2M5pLUbLfcNptv1JJh4ZUC1a5j1
x3meqjby9WW8qo1ZyIt27KlrPTEP8z4DMJhoBZXp7N2qdd/ZU5UHoVETd7jmhfm57kz8562ESCa4
nvBQI1UvSxliXjFEwVJy2/bQ4WumutnBGQsL7tDtPemEY2uOb0o1OcGlWJ11jV2IPv3eqRq0mq02
ZTduR9+G7EE/1ro/qAj352TYaW3irPu1mDENAKemhxtRFQz7xvSXFzLNNHg8xjpBtxM5aCsEuUnc
ZY6p/6u1yile0kV/DpdPu7TYP+lLeKdn+iCwUzz4jIUaHTHOTU9kiI6WdxZvlJMG79bW6jzyfvzF
2rnVwlFTjwQvO22WN9Scgzfs2BCLt9YS1K+asaWwUNJO84sxyae7uRNMsBkVWMyJbcSMTqZk8UbT
slmLOejacT9ai1jACPO0ggnVmddlUJpO1Mw0CNEIavvMdmjudz+s4p8Mz07xceBJBiTg8Gj5iTU6
1SbM01zj0iDto7sQ3gETyv/gtUWC7tWsrpxC6y97i7OIVzU//vrKpxSWf1+ZESgQ0MZlP4GtpyAB
q116G6nCbFwnJQZAlP45MSX1eNuV6znU7fGy5FaZu7IO4JuDFJ+gw6UlAy3RaHd45RTNvduvr7GL
q4Jn6+pr76bZoLcdJ99BBAJ75bUp66BGuVhZl1Nrad9ymv9znjxh24OqzA7798fJzcZK+ZtB/p8/
/v1kgdbCK0KdvB0Q93aMf50sAJv3HhHby/sjFcZ4ihoBxc2WUb2NfTaG1PeTxX7KYQJJxsCyjX2R
CfnvnCxgl+yiD3ZZxt73itP76cMjZ3BzqEq3Dfz02KUezVmbjXrd7wRQy1RRU1oajWPi9NWGIDIX
aOOmzuUH7PwyazcAYibROFirEXoQCtGUt9kWwORRwqATyDWYiLMsvxrovuUxyIxkX0y2QFBnz/18
1FfPeQNDvXTi1AHpiN25Y0vJK+YTz5NRZEukZYWeh+ts2228LsL7QOapgjTWTRZz7Bnnx3BGFXwB
kLeUUeE7K1EiA56GuyVognEnC1uzwRMamez7obIS9PFYdEU4bFdapGOaATaf5FV/mRNhuhw7LTOu
lKp9PTK8okUZa7ZZEpeBnqR0nL7mx8W6WHlo1w5I7WA29KBYZYFGVdIDLsw8LX2VVHSeV9JZTON9
T2xqEekK/sHeacQ0hLNeBS/bpFot6n7dKuNBp0MKB29s1cXsqOLGaD2oDkgg8i6UdbscDDMd04g6
Q2hhlWKtNmSJ+Kjgd4F9Zr7zNTXmXIacoik8nT4AcUzWPpnC1U0sP4IKhXYpGZRlRP5SkRhVAPxO
sQXup+Jitg064t5vPy90+tc+efLv86yxe0K7FjCIfPuIogH9By1s6qbvkravKsAHKP0h5m7prWpB
6GCSN3BdSzkS5WT3CYZdNuifHiVzYHaRHH3w1TK3Z0zFq0KS7JuA45Ijq9VZZKjtqMgdMWKwsfTZ
ezuQBXxEN8uJ3G5sdaWkcubIVTPHr2fLeTmIIhWciV1bjGHlaFO/W+DL21FvOLEpwVulPVvLHkk1
KE4x5ksRDqnuXbfEBesbVurn4ZRb9QVuOtlz1vH4pQuyACdMMpMRSVQOHYvOSwD46b0YtCq9oggp
qN9d/NfCJcDEQhp9xqG3li1m6GstszFeVtXor5kaaWUM4le/GMfCkLFlalW3UxCgm11XlYkfuZpr
tJFHwsn71XHl+6KblvcbhvXBVV3rRDDn50NVDQV0eW/snq2NoDXUW6vZyySzSRXVmIMUfgv6vJDc
20ZNXQYvvXns8gPvthzDtTDbq3mZ8002UFf+ddXbeRZDm4WU3y2jasLAlrp+cGclxl2wLvg1I+qB
SbzkmXkzCN+ewVU9F3PIqbFwksURzQUFzZxkh+YSaoKTQ1uLWyW6YK9ZNI5w3Lp5uepSzJ536Ins
Z64AsD8ziXq8c7kM+2HhkoyGcf6pz/LSLoHUkio/MkMenuET1Lr7LBi7f/kgwmcnP4+2SWiMFBuc
wltZempfYjdri/lxXRwHgWYgzfoi9s2q3NVdeU5P/ai22PLQELNCzMUTCQfrh3VvkyTDYAxzcdRq
ttvSDsY3BsrEeHJz610S+OfSuH/yHDdlznZvSLgfuZAN7moPKh2Lo0sm+K5SW65x4gr9aqiF9vGH
g/InFdtPrwXGFEBVg6RxmgyZLZkbJK5RHLu1S3vQEFlHnMb6m2zKnJvfvRZ+VrTevJsQxDlIHz5H
xx9rTGdsaFxZYF32pqVeAMBqwFdnfSkejSs3p+D7Lg07DRsjgZOuqTRXHAMDrTp2TcfSKQqrfrHI
VtrXZtUrM8zbhAQDZSaE1dYUprHdB10Qm+RkFFcIS6vX49AZuJUmff57/tZ0dLxIjPNpb6HQMnc8
6R4VXhlrynTyaPVNtsvdbHwHlbSew8LJzrGyTqfDXAvGOhUxBFsWzKndIGM4iTFUKo6NmtL90rtO
7C25e4Yrca9Rf1i0wPpnis9qJEQTvsTDjzbhT3DN2qyP2C6hx9Xdcb0pJ0tDbVTrUxHR0Phvanuy
y8jyeh2BHz4ebVh4pvi0dNIjqi2fsC2HzzrkMSdxYZP7mddVjLFAiXACU5i3xpwRSa8KbAJDBt4p
yvWG7zY0zRb7oWn6t30rg+Qi8xmfxImuhmsA0NS67SrbIESCFigGDB2tA+50axubQzq6Yaa6BlVW
u6zyYq01DvgZ9LrbNQB1DHrczOriQjBDZKLKtDKEbOZ+NBrfma4C1QfJzubv/+1VuT1OYjr53OBI
bKzSH3t+6Gi5gHVWH/ORM0AQFhw1/voWIKI/0zc9Xv8oydnVWI8UvbjWPLySlfv6yPME8jNk9tzw
1EfFJ3EVdOv731782OEjgGQDhVt0muuT2z42J8wZjpqXAzUnuk9Nu9hR5uDZ+utLbb3ew5dxC7Oj
XkeMErBxn6wv8AK9ScnSPQZMbp87+hBEZdW/C5qByXXZWbvKdr7++pKPlxlklu1wgByMw/HpEaEP
sykT26qPMKK8eGTmfDS8yfrtD4tWA4QH5h7pec6p22GJhVvdF544qrbKiYOZh+oyY8GtMaZK5/I9
gkdPkfaWdh58C28FZO4P34zU6UYcqJU8NnOp+7HmUi6GOCn0F30VBMxyqlUPcRgxKuL8VqeObDWe
o6/+5LFikQzhhPh2NpbT/Cy74xbLZZRHD0yYpI9O5vg7YgT0LQngP+3zE0g7Ph305gD19w30QXYS
BnwlH4Cyf/3kt97ZtJ5SjkBMRZ4E0cjglfjWO5vG040dZG5EOQqJ7WrfUFkDqjtjNeqLzUrFYW38
2TrrdNUw6vka7uD8JAfib7XO98aify186iVvA0hBmLa0BQLETkEgH29vrLfMYzmXgx0Vgz99zleH
PsykRv+8dXwfJ9XuK0+uaQwg1iQxhmfe5dwqOAhz1zBWNqbU3Mb8zPdCBm1OEDVtYV7R/Jao1tNh
IO0zcKioLZ1RWDM2TRIBMtKbOdCBdu7aiw+elolbfajNayRi9MWVO+vJkaa20aO8EmaKyLXuP5gk
IcPydYaUTnux7Zt5MlrQvWB8LdaU8ZIUmWeFvZ9JL9QUIjpScV0Dja9rLYd1xU4u9EW1vPUImX1W
yZaDMesSdbW0uF6EUzD0Woj3Y7Df/Pu0WLPs5jOhGj7GzavI24ucHhXJSjeJW+a4CZjr4lmfFoa0
n2DrABwwXpquVdGrglNxNIuIgdQEV6Eqmpeio3wNXcxJrZ1nyI2k0c7B83yC9c2gafW60O/VK/Yz
2YStJOI79tcyb3fBPAQG5OYexfOQWdg2zgstFAo3xRx/lK7Xxp0KLvQZsAAuV8UEPC+bvgyLwa3T
mDGiODLPzSBK6Lm4Xty0/RK0/rBE5mxgEdKP4EUhkQCGvQXq1GNULl2zr5VLX5bDC36l5Gp/ke5Y
jnFOEsRxaDMICRiCzUtsGwzXunwSr2ayAgsABMcTu3V1jHfl6nsv/LlpJB1ouo4RsZOmF2b9CEcC
6xH3Mnfgs0DMXV09zOcsp2Hux/VZit/EHlQhb8g2HJOj021Ar+/ljdwXq1eKmOPDqyIPBRNvwQAh
DSoH+tViZaAV1VZfS3Jupd+HneU3WjiTB2ZEsHLtm46MomnPsSovsERKIk9b7RWw3Ej40HAVrngx
B7hhTTs173qN/BoGrHP7HNTBLfeeVdkvpyI1XuG12I1hOQv3szU4MaadVnchpi4hU5C57BIBgupB
HMDs+MDAX9AKGYZ5kRXwVve9MRELCnG6+CQEZ0U81OoGsoBrx1ol9eG3Ws37lb5pbmhcUIcAN58c
8b3drgWb3ngsVVFAVxgMor6JCBS++E2r0W1TwVqdKhp7AaTTp4cu7EbdZ6AwHSW8QWTjykcVPNRx
4tNArFhk7LbVf/hh+/1JW/bw4Nvuz7xH0bdRFY3CaauU9cIdvaAwj+S4ZTuibBvM3N36jDD7pEu6
vwyhNAjM2LYt3KBONkwFk6BBGG4eM/agfTYnHh50YxVKb65eDKahQbNTAnDIsfaiIgrBK2mDLcTy
0TSX6uA2a3ameDsNf91unfqJLXx77vBaT1oJa7ECbQ0W88hgONl1WQdEM8AaDNpqfpFS8UfWbAzh
ahZrbJOOse+sYowIp1wPlea3OygP3o5csv7MH/aTj4Q5HGfUJnoEm93qpR8IsDYcQzyfg/Woda4e
jyO01tKEZPHrD/5hPX7/iZB8u1XKSMc2gdDDq2CdyCGGnzNzjEXE6+R+dfrWjGfX+GbU+5+S5wlT
Xp12huH/31c8u1ukfy/G/vaPN3cEMt92tw9Knz9/w/fKx3mKlzmdO8U3v36LT/s+NfCfQpUH+geN
wrtt0+9+n0d7T6Fj08YhTXfAKu/D675PDQzqItBCguEJa0JQx7byG/PorUv7q/DBX2Ubd2Poyn+J
pHDtE+I+8qSV5yG6S1sUd0W3Nq+J4MByKMF8OlFeQTi0PcPFds/FbHPfpxfGywlBDDvjZpd50j7O
ugUm67sY2GAfdbRh7CNRl/1+MReTXKFUP7Pv/+RGmf0DZ+DkCii3Pe0fF2GjEUMr7Ka/nJnmUjx0
grizlZtMBj8eB2PeF2Y149dnndNMnbZDTHbur7uBmyiATmn2jsh8q8+X+XLVYShZTeKQqKKsvU4O
W5SbwXIovKAJ9dqvrsayOJe9dpJus33ECLAxYwvI3sSa7fTOE2jVKjFNdSmVqe0tyHrPOPbkM9Bd
1EAVjCqLGpftu3NfZiVsls1P7OCs3kcJZepgw/68kNJsn6+pb56RJj3+VLZ2m4OSsRnRlqeZRZqf
aojZJv1SK4J27zdZuaNEq1BuquqgEgbiUoKcdt3ZeMifXZn9GCEJ8zo2zpPt0uzNwSZKyLwUdZP/
azTIS2373r8AX7X3TNKmS8Oc14tRBsvFD9vFT07ox28+NQGOEJtEaHPZPTk6s5YRmsc48VJZWLqP
a/EZCUB2kU2ujelcN58pCB7fKG88Kwk4iKW2CYYfvPjUO2wmeeZeWlqV4MlNu98g4duruhl37ug7
F8ocsl2N4uDMlR/fKOgpdtHg0Yw/0ZA+vLJcs5zdVnMv5xS/Li1ryhA7Y/gR5usgWfozC/z+eH+4
lWGDSa8PwEG7BOPl4eVGUtsNzczdy47hkksHVOEcZUDVg6GrtHHX9L6UkYcLOCzNoTf+lRSrf13m
Sa9HblZWUzj1rVVEEqL5q7SqcOeucAeES1wrwi6yyfBhzSvnWENpy+IUkyNrn9Umheyiy2VvW6P3
6devyr3b8sk9sShAvtF1MvHzT94ViN/SNJTfXhZJhWiVIrMJa+int1ZuKLopT+lHpJ6pGzpFJ79M
VolysZ0K75Am5vTZdIet6EK2YeVL+8kZ8JQKqyRonplgu18TTRvf4yKevLU0zXrhbdQ9LXfUy0BX
/RJOox68tksLgt4y1eq5n7vVrQ0i+s4j74aeatL793VVC9jP5PtCYeSBqrC1kZWERTOqS7OBK0sT
YRnvVnje2ZmP/GFhte1ssPEYx3NsWXBGTj3RcJzaNpWgvYSAaz8HYjb2/Sy9316vlFTb6b0NciAY
n7xXWjFPsGaq9rJPsw9+rsmD9LIvmJxrezzKjDNl3PaJPvzEt6t5JuL/DQ85TQipNdvpV6toL0c0
CnFhFlOcpkhrBlemV2QPbfNJ249//Z49fpDbRAEIEv4L4PG9QdIPFWqdDhqsfNzkmtGod37t9jDF
zppJ/fQqW7UDvoph/6ldbaDlOCYbS3upFlAJVNdmPCX2uZfi8X7HvWyEM9oTEwTwZGPXktm1uz6n
sLDVejWI8v8xd17bcSNZun6VeQHMgje3QDomrUhKlHiDRbmACQABb55+Pqh7zhGTbOaqc3WuVKu6
S5EIBHZs8xuy+8pWoJbhl1qjZ5D215CwA+GeiXfvPR/6O/S5UJLjz5M8P3asqfGLvDlmLu0VWQlr
q/ShOXPo30ZVdE7IGJFoxmeefvjrMNfNsuznoVvfVZptNSJHpLW4uuiF+RVn1X778dF4d7l1GzmT
azl58lCO33qLW2QN2UPvbqrJHEI++GRXBsYQ9Ut1boT53usDXkPqu+Ix37TgrY6mk5uOvL4Kzkwx
JE/+kO2XkYaRvkCRg4NgRVll3H/8mK+rpzWUMGGAJM24djULO3U57qSblwhENkfRZlmUDL5OarRi
XoR/7oC+t9S6Fhk/lTq59+sXqPULIuiNWR9xlqhCmV3UDIY3XjGNm4+f6b1XBwOEWx9UHYR98/VC
bpBo9gQC/Eiv59qrhzGc+rQPCzL8cKnjcx4n5vplnYYu4iP6pXzea///9XpFl2lpC+XgSFcNZwt9
cg5G2slb4Xv9QQt0bWfPuHHI3h8fFyLbre21SbioFDadgWjsiExv5Cxz9SkJJBgX0RW7HknySFil
FwYwHUInFtqZ8P6nI3L6s1FfxT8EgC8DppNtmtrJBFnetkdoN85LlWfaDdW6/i1w8noKg1xHZp0c
Ekx56uZVGXoO1Jp17OfLsK4XHxk4xxBPDVnB56Qd5xd/yV3ojRi+OBBEerD9aTpAHKHOcmFUioDw
mppOI2BQWcO9Jxf5CQ7ZCPKDll0Hk9FZPtUFJIsIvUYFl6mZd7FlDmloaYXF6zS7u54m35mdeC9+
0USBg4G5GADqk/en4iHGTzZvj+iIehE6rP22KwC+fHwq3+Af+dQYC0G7Zc9XvOdJTpMmvgbstmqP
c2x2m6AZUfbjNg0NVXShY9XbBiG2WzumCYn/a3UQlS6iVnXtmcj2ti5b62tUdpg7M7BYZxJ/V4Rj
1y5OO/ntkTZdAY1AiZu2HNxjnXdHq06v81K6N7M55xsji+MzDbQ3i6+9ANRBGPmxF7DIXi8OFrgR
E+jgI7yKdp8xar/vCpUcsDgNNphjuAe3tbUrRQr92R086+HcS1hP9atTz7qUBcC8aSEgyXXyAyi1
Y7deEuu4lq+PooaqEfae5DYZCoqE0Ej09qJM8wnqaDoNUd5Ozadl4PRuoc8Nl7pZKibovYzhpGo0
HYHwzaYfpckMpTAJvMynxaoclLikB1k4mCyc4f0yG3530LbQOctGCV3WN2EtJ+4gtx7zh89z56P2
3tpB92xXyWIcgK8gFDFUHnzNuaoL4vJgtl2ka3LCJGosiwixpHYgXE/OENaGFy+bBcGVJkxy5gkb
uxbOFKHyoMxr4TVGANXWndUByBv8Fy02c4heC9Am5geYd2wGhgTxFsVDSF5Jn45mVNXOuDEw0bWj
Ga6iwX3baCXXkfTiKHBiBKI0QGTR3Drz6iqUrrqtmYMXj7K8r123dNnOTbiyQ2f0/WJnyJZf1Cd5
m4YZSr1WOK9Dm0MdBGOwR56ZLr2du0Pz6XLsJoz2lg5YOmDy1r8vrQpl/2nUus+ePzZfBbMxJ5p8
J9G2KIEKLQxUpi7HpvN+EpXKZ0egfMEgyoVHXNM2vDL7ob6afE/+SDT4pLjY1skS0hM3wSWBTKdA
cOQcbzNXApRjwERnBL8EY2Oldvbdb3z/0Sms3N+m0xLPUdPGz0uQQpIchJyr0PGQcgtxs5efcJur
wsmv8iJaFMrWIEBz240cs+TIf3ye39ypMEcQVgc8zkdFDDu5UydPeiWEdeNY07DeBojfhjIdCxIU
rtaPl3qToK9L0VrX1/QSf5eT6wLxcN8VgC+O4LhFlI2OcVGXwIDoumo/Cf9iS+Yuz1jBvw2adOlI
GbiedCQ90MZ5HS/ENKumLDvjGGiBeUiTorgghbCjom+03djOTPaDuNnlnqb2I9DFvcJWJ/L9sjoT
uN7e8lwPbDJ1AkpNJGon4RsWhSaRbLKOSMwZcCKLyg1lMy6bQo4VaODM2hUppxVyF9w+b5fqcXrD
x1ZBOUnmB8ecL5fOK7bw/6JlabO7HszFvnec8a5o+3a35E11Zvfeng608CkymYwwVOMfXm9emXa9
iy2Ac8xToW8Cm0+h0ZlJYMP2/ePDAR/sTVxlLY/hkk8qRO92/d//KqX8ZAqCBmDzkRJES14sK/Fu
0yLr5VZylj6hJd9/r8ZkeJrd3DOpjfXRIvBqoIGTn6b+0hpd3T40tfKeJm9oHhvFd7iVQXJZlKKC
XjqUfljCYsSVOv8hkN38Iotc+2oVOAtDsY4TjaCWA0byREu+XJhz0xzcHAXpsM40SLR2nY9GiPhG
HEILRsRABQHEfNeqyOjT1Kg/O/HMuBPMccdkM0NzfdVKjB9xNm08eCuuchiXQcXEL9sqgK76xOVN
1Szu7WzhrhQJbSqOMVIrP8updq9qoVKsVgSTss1ijJkLDZHpcegoDBuA2KqBaS4PtsuQMUKJonW6
a5zuEX0obRR/jdYZb5UtUKYA8CyyHYAxLuWWN1juDE05z0YFS5q8crK+Ebfj60447pcREnEXDh7s
4eM0ucxb9KKyPuHOElyaCD5tCz130kgDRy/Bw5Z0nAVw0ypSMIu8yMFHaG2w0HdAI9Ir5Q5ip3qZ
4sHRjmQv8epVA4Mx9HNfg9NoJtNz3tGAYhacQf2J2xJ9+yyT+ZfE8pPnLIjHfRYbzn6otZbbUnrg
bWFwpY9wGStMaVF+vIqxWdT3yHZTYIGx1vf6kJu3pRTjA4566a/Ez3IHIXA/KTZuWkzLTk1eMm66
qZpfBAz3u6KxkxyUeKkesTXHlGEkZf5WJMH0oHyfVxkHybDPliBHBYoQnkVCmXm6meOu0rYm0jc4
yXRpciOScryL4QokSrtLO7s8GF56Zakh/YLrXhFDB0A3JkR93MsQWVDNb+BS7swdUnIyujQtx02A
gfuFYK4d7AwLj5q9jD1xqTwJEj228nRPvy6tdkuiBdfduDQ3XQGRageQArzzAL/2pmmWCva0V8gs
VDrfEalAKq3t4FbMldGP8JHMAkH+C2w840d00bs7VPJB4tvJ0nt46tWM8hlNXwRCFtcGB1kLUSsS
AAHHyTLCwspSRM77OXlMVe5+XbSqoEvYDMFLgj1Wv6mRZP+J89JLBSTzuQY0tVzLSiF/bduoF4As
QjUorvtPyrJ/zCOYozBLg+GK7qcfDaTZdejFAheD0cEKNdJH3b137cn8lPJ/wKxH3AacG8qKPltW
uCKiHrsUQYBvcH2+xbGcblWug5FCGmsfz1Z+WwO+AqtfDxqpjMlFu5ubNjex7x6HamuDz2BLIKRz
F9dD/Gzoyv/W6d3wxfALeNul3sNE8KXElnWOoe/Hk6s/uWMMBosbrb5PcaV1t80Cb2EzMJ+YwwaI
4z6jNz/OPa6cTh70V3OAn8TO71BB2i1DCt8kgTIwQByATY72jAVf3mu5QCODHOue1NCmmS9s7XtQ
ymCgK+n5cBq8ZP5mIxkBBaEslzuBvyUS21jsEZbAfj+rYUg+M6fJz/ncvdGRoswBIPbHzxWckXUq
HU8n2VRpp7tHMs60iXCCN8TeVMIALgFh4rvbq2/VUNf2EaFutFOWDEgpulA/qqkZfoKqB/U/+U0Q
drq4iItOuyQI2T/kVAQHxCB2aMcORYhdl/pVxJOFlESdzCBkpNQjbGPFz1LiJvnx9fMnz3md1aOL
zDQNaBSaovppTVNTUkyJcP3jkAJT1XvRPypqyjnq0IBG8hbxE5sIkMG/zxeqoijX5uXeLbNObSok
K/VoKAdpRiS7zRHrl5K7vW/A7MWmEX+X04x2XD8jLBGOyIMcgPBhg9t6ow5rUleWselN1AJA+XQO
8j1OiTfGnHfmRQEO/zd5lRBhnDrZE2xt3N4HUykVtgHY9CJWOIW4GsJQ4TwM1MmAB8HASL8rntJ+
GJ46t+6KCCMyF7GZCXGxoQxQom+VXaGXMMuJ7gABkYhuZsmzlzeaR3YWJF1YqrZ97orcerHbxtvm
hrK/xjGBjJJFSyFDNZN+kzKQfZB5MLkbD4mRBSrpRMxxq3Heit6MdyWfj4gSOtoFZCMvvXZSMS/H
oSrdQzO3QBodmD1fS31Bxt2E8t+EXZ8QlQtVPecgws+Bwf/Ir79+2R4taZMh0gqDs07dslH+HOqh
ket1lGMiGgxB3t8kGt69MJrukGSI90bA/V4PrvECz3b6YfrDeOeMNOJHkN2MBnIjRWyzwF8Gx8DS
SI6+H8e/YMTO66Ayl5u5QrRwFzcSNQcw5np9ppu5lpknz4ChPaRvvn/QJPpJXkvEoGqxu+A4GZod
dUy80YWyzyn8/zHQOV1mpYOvs+5VjH3NEP/KyuDCJlzWWnAUsZA3iDllx7FZ5hsfUhTfd99ul1Wr
YIybaeugVnbwWye/anXDhpBs+6v3XfutmeIFUFkS7+nnjBezPvpnypi3XQH6jzQkqMvBrNK0e/0z
y5lw35R6ftnUw7ApRLrrDIRQ0Iu+wLxrQbimBe+lY0qruqePQ8efuuX1Fq1rA7ikMcO86XTwEABI
66tJQ8yijwc71Myh/qH5en5v9dWy043pjr609twkrXlHiGHmsqDP6YuH3BF+g5FtZyE4Vf+ia1fd
jRoYyE712rEok/ghTotuiHAqGSnf48q5mlEL/IYmZFBGhVYnzSbQV/EbS/vq9E05MnjDkSR0+2l4
TgYJnpEaWjGJE5pWhx8/+NsTCK/CpN9Fq5RZ9KlpskyZn8VlIi+rCf05XYOil2uaPNNseudjpd0V
gMwBkozfoXHyaume24vQ6uJSz1AGQ1po3g7KN8KmMLeuFv/ysGzaFZbqL2pA5he0LoZwgl54CIa4
+Vx5CBLm1RhvYoGlzwx7MVJa9Zm2hbxBlCO9Svu53tJq0M788Lf1DPNHWtXMvXHIYQ72+kgC0tTV
iPvJJRNCb1tNrvnVg7oYEQu0SxO+GYHDRtbIsKb2TNn2ztK4JsBj+iNhwJ+vlyY9t9JxbvNLu1dy
06vCPFpJWkeN8MfrJkvE1otpWnB7n0OPr3/zybfA9e8gRkF/kpv0pJ1AFzcpZ3/ML5WjTxe8Nnsb
Z7ZH/jKdwyO+fUiEiMHm0zFHrQKBxNcPGcjZRwQuKS6Z0M4HA2zoLdYe6k5W5rDtMvR/cpkO3+Ei
TJ8/PvhvGxnsLtgHxiyrn/Mp0Wnylc29JopLcGPNPiXzeVK2UV84FTdDgO0Ltt3KOPNO335t9BMB
pED3oQFKbfX6cTvSybZfeNxWz+iLLwwCqZjP+ey9t6l/r3KyqTliQ5aYi+KyH+12VwguPNeaxBbI
dhZ6KPZsx7U/gZvBOau6EyQ5gyQSR2jYHB8Ud5mbnRzaZMy6fHFneTkWbfM7p65A63VETEr49VSS
kWATkzpiRPsDJGME0SzGaAA5trBRgf7F0Er/Jjbc8QmMnwly1oeUEtVOjxIGFNH+Mm+anDa56q17
far651xrEKJLhVG4m3wqZi+yfsalyTktU3quoZHa9sFbEDsrSEghAin13Al/eKnxgtzhn8B0f4B5
4pXunTL74M4ZOtKcpTduraxofokyp9qgaECgiZFdpm5KagLFfD/AlI7rW2tAeYJ1BY0+e0iNYe1G
0I8Ff6VcJn8TaE53Ww4+M1ehB9WLgUTjFNU07ASFbgnnkmIKfDiyW6W9g2cKSjzWZP9ZLZW27CX+
N8+iq6YrZu3mueD/5kMn9BPdXIT2ub1QR359HPNmahyJcNfRFO4Cu3iukDFqzG0JH/XMPfPmc1uX
wvcRmQl4ELi1vV5KA2S3CLuPj9M8WpsBybAtiOp8o1q3inpNMZeeUAP++Bt/8yGwqAu3YmVWACc8
Bf8IH+e8yUvjYy0LToZyi+/YY9B81rJ019vC3xizZvxwB0sdPl75z4X2KoauS6OFv0JySL1WSZ2/
Uy7TaIsZiar4OCTxAoXZsrY6GjA7tw/6DXzD5LIaM++6bHtFmWk7CIL16togcQ6XfM7PbMR7u49I
G7fYyoF6M8b2VTyPRjvER64UHXkrL9mpoqo2ja9qBo8kG5nrPn68Be+sCdQcbwWoXdBKThmyRR87
ZjO62hHEb7DV+cj3KDTc1+5YH4HztLvGyL9+vOQ75xlkKDM1m9ky0LKTTecECK8gnT+miTZtCxgt
h2lQ+c7O7G8fr/QWmuRyX6FWYyF8AX7UOfl0AgwkdWyvxaWDOxMCmlbt3cL7sq5nSzHahBkdHP0p
MY59hU7Ezpd4a201TsC1jbwNGmyNjrvJGlDHEB0KOvaVQu1lSw3mJLvWGHP6QE46HutRgdhaMttE
YUc5zlXTp3JPtU4PCoEdWaLFCpZgyySxbujnuQkGr1Miv5rGeNSTVc5MZiUFEgqj4pdtSQYxXuzU
V0JLOHt4C0Lz8Ou+ZgRZ2cHFx/v0tnO/7hPnbh2LcxCck+Yz82FR2R775Kapdihqp3tg/C83tKmL
Q9r3IPUZg2+SapbXtd5W10hZtj+80uq2H/+SP0DPky8S5MiKcKaDT7J7ksoFyHAECXPsSwT0GjhF
stnPbQYiABpqfOOoqvxSeO2F3ffaNk5XTcdAF7W/T4uSj6SFmdSAI3OrK0RoAhXJusTrfEaGwdwY
4yiXA+ltS8Bf6vlrBtqvQnVUuQq+E5JuoV0Wc7LVJlvdjLwNf21GACKrrK5cosVytDpKA9nR+KT8
/2IjxnPf40BIdRvPi9iZShsfzR7kGSOnxrO2pTeXCfINzvhUJkmvHbo8HrPIH3zZRKR1rR+mObDY
LTbFRrTmYNR3dgbigAAR/2w8KILhUlhd/QgV2qCLXnsPueXMmIBl/vzw8ea/iQV/Ys8qxuWaqxLA
yddCopozM9LFJR+m3KCi14T2HBubuMimi9wHCAIPytt/vCjlLUH21SsH68ytw4e6DnvfTCOMgd7y
Iqbicsb8d4o6J8UcudQWB85aWqjL2rKm765naD7jiXEi9NJcNQ9uZvVDGIwzaIQpkKMitcj6R7Nz
hlsQahmaU3OO55GemWhYMu73os5btPJaEg+RWUfL1N4UmuX/EDZWDtEkMRracjcWeWgHRffYjVpC
fwTl02I7jXJ48dCkeg7a2rd3Op6SDG+tdLE36SgC5+BUWg/VC4h6u+nQYk23XpAm+U4TieFiFsdy
Ed3wMd1Uo97eKNDNR3NovwmwGaL0fxfsDarvXRktkyCNTzlo4EmaT6kY8RBDnnAuuy7yU+euruL4
OC86UYusFHTHEk7NqLag4YwHvYUU3C2f82kd0SjjwnUbe+sqqp9YbHFIvF+apg7Rtu0PYzKJI0NJ
TvXAWD0EUGk8AUatIvrx35cOl9EZMZawYtrahUj1ODKK9QZlYXscQsBfqINoT4svt3bePjglo1Wk
Ye+xDqy+mRgCVjiVIuubGV9HdBwlmmQLUi1WDSDRaR4Q0/jUlhiOhoG0q2NVDtlN2XnTIXCkfRF3
KL865RSDe83upioAQgYrigbPfO+m3l1flHnk58Mnx+0OS3mJHNtFWbrPqAwgPeuj6605zg4TdUUl
uoCKzYZPbgbTL07RHZ+s+Sn/09y1MxhAyrkh19syUepC3Y+xEy6jatR+JxNjONtFeX9EWHOx9Yt5
dA/Cp9c9x6kW2bW1HxNrjEbIb1FA709bVi8Fq2CMD6cez9YxdIz2FlnZLa44n2fsavZuE7f4Jk+t
5qyK3s0vyOPxbrQTIwXd0fh3DV3XJmqGeik20ySdQ92X+nWBShCa1dNaXloTU4XIQOUo7VJrb9fD
HapLT5ORP+lVZoY1YpthiofYHomc73AOjilzdHh1Sq4mAgkjM4dySjnXfT9rv1EOsi9SLfefBTHo
ZcrlgQ7rbzevd4MInubCWi5sVcf3c8Yk1WzrG80TNyZSyaTBHf95s4PQfTkayL4tBcDjBiTsZkQj
ulMy6hp5jb2gfBhkEw66e9As6yH2i3tnMZmXxYBaTKBWPxi7HeMx3tuj/4KBp7eFSqVC04u/rJ2x
kHsWeyTVw3fUEOcNU6TtI/iCVjguxVWQuA+2aJeLgvZTWmmPhiM/gx65mWR9gbhc5IyLiFx6ZBs/
SUAOy0G0h3yab1DFwzDWctDkTfBigHClITmcWtE0oRoKlpD48Ch1YYA08lD2LaCv5i+lk/DGq+G6
btN9ohgVSpfRi6FFnTVcE7jmltmt1W/GKYNK2VUoi84yIBJgFpm104NPTcRCC93ciI73+DhQzzxb
lkQ5otZU9gkHiVTfpYbJOkLld4Zaxw5sYVl5TPXbBpBtqEmzvcpKe34Gh5RkWzmrOqHHgqQweUvp
whaRkHhD1PV65Pj9pQK0QyM6lCiKN3SvkDWM+E0IIw1Dxy5beW8++W5qvBA3aWRVNH6+uq3Xfsoc
ynuseZ0fJOz8O2xCkVu34wfBPxQ7mMaMjirpi/uyYSazM21lXZPYd9dxOjXXc7JwJpPWqeDCYsPR
XejYwj17o3L6TYFi7M9uhPix+fh6eVNcgOAyqULBT61mVKe+TfUKnc96UV1S+Tk007FWumuLFkNx
2K+73PY0jIsdTpPQy3/jp/4RB+1Dm8ZXpo3/US91Xe//eDv+/2HmSG9wpd2vfcj/TEILX0qRv2jh
Lwl2oRT/Bcj/pfzZvmKi/d+/599UNBznILfR9IFQD055bTX9m4qmQ1Kjy0WnC0QqSSrZy/9S0aDn
28h4wLTXyZGgopG//i8VzfpvCik8hZhS2/+SsfsnVLTTFAmwBNASQukKyjPIzF4XjGXT2X42l/0e
t0P8VWIfIaocrwAxmWqTOtYzneM2OFOVnyZIfxaFY7cOB9AWOsXVDFmR+55iUUBl2Aa4IM5cIa0z
X8ppWUaTzWS8AS6EKdKqv/H60TTdk25r6PO+MFxsNxquN4mAG0jP/tyo4xT0u87/aCYCdAEwxJ8n
uwhuSelESn3PJT9GSYxCMoPU9qLT5h/1mNXXfx27u3+lkv/Z9A4eHSQmDgYDHLooSNquMeKvwQrY
h7ikbWFgqFZPm07UsLjKfjzzlgA4nSSyDn1YHmv1HbNBaJ+KdnlzUrn6vGCuh9nHri56HGuIfLra
yhhLZb1zMULIbBpKG9ud5p8JCL1vCCSRWxmuVRKdzBzYs1/GGSL1Od8fPubKyK9iS8/kse+txroy
qTSnba/6mQtl9Zj45FjtOF5jauj00USbZQnTjpZBJJBAf1o8R7qYrwCt3upNN2tPXreoX6moJmNj
M3o0D2Rl6WU/G/qdtEp5V7qZv2ydwRH5hjhe32JnkX+TfH8kB07joqKgDV9lLeJnZxzM31w47TNv
PL3rUIMowznQmIzOrTm7oV2JbqF6zRLniFtE8Ti7dr3eN4v3pRol/UJgVsZT449AHukEjuoCcGX5
EHhT9rPzcRnlp8d9FpbZUt4UOUEeppNfgHm3l6DdLKr8uQz2Dyqi5LAilr4O7shtl/dOLtDKz6vn
rgvqisyWlmbg9i59Sj2vtEt8yNkiJgUxFYNXesfOa/RjEShaO6ApspWA5vcO0MlZhgBc2m5rT0OD
EanpfBWl1lSbqmi7LxYCd23odmLEKsW3u/usN43ruHPklV9rrtiQioqEam0otb1Vw926GZVuLPyb
sTqO+YwfwezNxk1RLcne7fUfaCsAjrGlKh4X2bvfMnhDRminIn32MPAxw6FTcb0J1OpMg+DY9JzM
9vA8z8s6swHueduaEk08HLsaulRWSkNjnAR1lUqxxjFrI42KxDYvYF0jGTVpjfPVSQzynJYGZLCj
BQkp33Lglm0YyP6EJ5I+Iq0BgCbFuDIsHMTTQlPT3G/A5+fx4DvjfDnnahzJOIPpN2qU5mcrWKB9
pSY+Xgdml+qmSDFYIZdv1Gehd3WYovFz19d+r23Q0E1dgB7N0oZ1kxRAueiIPDZePyGNiHL6ZpSa
qUKRLJhxStrIuF1UFlx5lMuTO5sZ8BKaI6jOaBXFnENAn8sNPucUKf80khA+yJZRrLYYRpzax03K
mFAoMnAJRYtx49LfidbK80xb8nTCusYR+mKQ6hj2MW/mlv07XjV9HcMS1F08G5r6oanAoGith1Fw
NdqbrHHVtiePvwIYbWzzss7O9WDeCWOAOMEGBgwBaQq+Xj4LkllTle3uAUPHh9GtjH2RV2iYrqCd
/4f9BF9P+e2DMz9VaGCKDnxPEDGFkQxXpVkgND3o+pkHenPdsJ/UopAGwDzyRCfxf1YSbEweu3uz
rX5IHJ52yGrKbRH06a5s5+H+44d6dzmkLTyHJIEx0nrR/nXdTDm8TVX67n7MZBd54Nm2NZHtWHWl
EY2Lc85V/c3FjRsNmQ+XDmihtwKOEpOkfi4ydx9nKcZx4AY3pd11h0nP7TM36TtL0RiyAdXaIJjf
7KQu1WjHGJrjVYVIKJoCM044sRsFK17r4118uxQ9SZC7cK/J6Rj/vd7FnHmfQ0tPHFbb8p0RIHtB
poU1bqad0/V+bykbOu4fpDAk4JMDP8TAAXskbw+53X7LfWy/pnbWtqvU4Zlm15sMgf9mnZ8yfTM5
HafVSKJhNmKlszgIu2kjnEr6yMaVaPvx1r05gKzC+UOokChivDmA2YTipBgNHJOraqetEj4Uxz/p
Xl+1VanOpI3vLLZ61K3bZ6/q0mvG/Ndpd6yym5Xbww2PVwW1RcTR1CWKmViHqtOIE8nHD2e+2cOA
/GqFjq3qOBbCE68X7F0mca6R+gAN3fZinjSa9UWvdq7oGJEt+nJogGSE4BXF1m2betfRqdkMXtNu
FSiQvdZ7v4o2tg/mTEvbnRZrW1WzswMwOG0wCPppYkYTuRkYYwPRe5imvnGt0GY7M+150/d0eBAg
ZZZhwKQn7z7ZOSSMgqR0F29v2xCXAcqKYxMbxW99Hjx/ayPWSAMpsLLHJUGaYGNnZmIiUaOyKgqC
tBojCNFJuxvxO0tD15hRTPp4q9/cQ4RkGIB8fkCS0KM4SdOLOPUHCY0Vp6D4pZuXvVnS6Rbim5jy
q7RxnxinXBVWc+Yj+QMA/LshzACSaM38kUoQYbzTdf3WYrQpRLDvHNBFQzDYz7BEQKDnoKDzpnzs
AT0dij4JLo2gTS9jkKj7HCHNyK2dvb0oPHxGR4tms9N3MTizx4/35c245M8PJKFe2doM0E/ZkQnD
IhtrhIBFC8CpaFbkS2jAg682JSkS+MFYAnbVHKq2qJAxnr2InLV3lY3oT5iVmhJnvsLTNsf6iyhw
odyiFwGt+OSjWDSz9sx5DvbNbFf7yQJ6mAddx5vLH32tVbcUcXR1F+ecb++bz39dmM9+1SleXVzX
2PrX50/FU+Fy1eHpHCf+MV8wlWl0x996RZLsdYS9ztxA64Ocng2fWQHXghswIz25FkoN8H+LU/y+
Up53BRqouvBlOp/Zzne+zZVmC4/eoMzzkXt+/VhcdNJn3M5+gio/MLqRYUujeYsIibMHjpBF2TDn
19rQ7PsUpCxuR2N6M3dIlWUidm67NHMuGnhh//RWZLsBBa/MRCg8kOFf/64J/9FKTVg0yx7iL3M0
dRl4fb3JZK3OBNr1rzrdaUAATIZpn6038Oul7CDXmGHmOPNi53lV4h4VuUWb7528Mncff1DvvdQA
3BY7jrKhd4ryKdsmLh0HzOKqHbxNrUw/MPx3z4Sz947q36ucNDgUBm6MOfF+HtGfvS0Xpzoq6qBd
l2rmdUBSfmYD1/j9ZgMhISEbzhtjvP56A5l0BRPZLW7OhtsD2fBf8nqYoqpsN1o9HzOgBP/8dAAd
ZY7P8JRx9+mptaCtVJpRxHs0DESY9XW38/Um24BeWj59/MreCTgoXrIaepRIPf2BEv713cs6Rlwg
U/Fei1ux7/CjjKSlLRHGcksYFNY3E4bhLg7kcOYtvnMsQb3RzHVhSjGMOHmLYzdiN2z18d7Lnc9z
OcFE8YB6DyD2z5Rh75xKVloJ/gagQoLq6/dna/kqCjTF+6mlku5NDXCI3Ttnzv57lwnPs+ZO6IMQ
w9ef8fdONq47C+6Efb2MzSWSJ+mu0LHrWeK0us0qbPgAKJSXdAbldkgm81ci2+mAEew59al3zisA
AJqoqwkSUD/z9Q8hWRnLoEzEobRcEWICNWySzMRhDfHuy0xTQTT3bfn8j88RmQ8dW5JiNH5OVfUt
1AXZ/C459KWpX3bx7F809E3oAAzBwccq7bnyun4D+FudOUh/AJIn3+fKLf7zzEjfnXrcNFzs+qLl
yQGJQPjvhb+Uc0Q62R/MJrEVRHet+YExqQ0/CdvCPOrivtjppWJKghVqRuT1A3GwclpHENEsEHsJ
uwsRGIoRwbLEk0Brsva5TqoMI9de+2EL3Bl3KQjncdfIoTRw1GuL2xg67u+2wIN3l1YunT4a43DM
AgMeVdlUI362ONXzToT0v1S8pxerMi3GnI2GAg741i2uvf1wGNw+folXX+ZtLwNzDO2+zkA4JInx
dRAz/Ik2M2HBdInUy61yIS9HSjch65p+7R484XFhtbgK/kQ4KM53QdVX+wYrpd+lM+dHLnZsr7K8
uxbgYmhq6T7AFoGzyY+FMgN+FmanpM5dJfbWYlVN1M6GxN7Sd9KNZWiMq4JCts9Zvmqku3Od6ZHV
g8cIfZ4sg7MdzxfQpG0d3tMIcs/qJnZgtMa2j8Qosq9/Mq/ISIqHVMexj51OJyyv5cBA1vQMJvcf
n853QsBKXuA/hX5OxXGSojeLmuzJtZJDgO7DvV6X2Q4gwbls491VmCpQefroepzKl/SDV8X9TAdT
VYmznUW7DvXFOcv2M6uciokVnqDH3BvJITayF/Az+Gdlqtl8vGHvROdVPHIt3T2kQ+yT6Ay0s0no
5/A558O49f1FMT8ojC0Wb/2Zd/NOuIKTQVlCK86GcnyyVFMaeBlKmYJHZlwN5/93asgfy6xBfdEg
ktKg/x/iznRJbiPZ0k+EMezL39yQyeKmIimK+gMTSQn7vuPp7xfF6bmFZRKWumM26jZ1W9NanhHw
8PBwP36OtmNyvToKzCTZ4m8UN16epq9CdQY3URKaangF1w2+I5aaMyLMA5KRg7lz+WyZIvO0RcWK
DV0y1ydRQn0wccJrGNGsHGC7ODsMp/7W6PreQ3TtGAJcSnGMvFoAghfPPFi7ag1qgOgawIl+IJkB
Y9Y6zvlRz8AK7KK2KYD6yhJoWDZUwBEVhcwQ2U9cD4FpdQy/yn3c/rpR/9+1Xf//NVR/5G3WVOPz
336YZ7NGqEgL/u+t1Fv2M8/+rsO/Vv+f/9021SHchBGYwrQNoJJQ8p+2qWPwB/B4EFlogwmdr//T
NjX+F6gyGDVpmjJZIiB3/901/Z8ReIqj+N83LR14Pjm0ZCRsDCPJfP15ZmFUtu4ZrWNc0rSBydJU
/JYOwoRG8lNfQKkicHvy8L5HVCq9lgGK8Ee7Sfxp58ZXhCcvfweJFrFCFs/l5ZOGWdmIkchWv3Ra
YiESzbBK9l42uxgKnbCU/xkzlGUPpdcQRzSHH2SMYX6SkzL49Orrffxl8nVHcv4UYUMIjoKZWCC6
2ZkXLcpXgWRQfWBk6Pld0J//IXEkf6D91H+TIE84t060J+e32n/MiSydajRkTmQX8/33VFtqUBrQ
L0Fjqe/jyNKRWCqZ5O2BPL+XkApGQyKWpu9WphhXU/fsndfCPMT8Wi+PaQsKWYHDWKot1GqQmKXe
6xcddYUL7IbJM1id1L2/q5tWeGiJCquYihF//mpXGflpbRDU7GpS5V9JpLyzj5rVTgViHplf1gL7
vkwLSGU3KVTNreQ4L3wjpXbJmc94A5ZvPLZygmDogBz0owsyoYrklgOJz+vYUuemaicap5zS6wUp
jPjJqGrzKUSf7vN9K+sFvcR+8BZ0nMTMy9wKINbC6Sqpu/RW1JzNXKYZKundwWvj5Nt9U6sv5FBK
JOJYGohsarcLU6Xvx1Ji1NIlHoH6y4J1RR4Ka2fbVgtyBKQdOAOPb+Y2l/QW2sQEsQFc+FKPMCFC
sg0KiA6wnQfHMbSVn4+uyWB4gMqbCXYfZq6F1/lRaDudKaQG2wwAVFf6ojTbN82Xx+3AtMEQKpc0
nZ6F33UICZltW3mXwgnS30AYUAzWY/nr/8yKePe/OkOVZZQ+DMTepZXK9pbHqMd2ZfQgDzivLgV6
WXIBghF9imVHroRVX+3irL/AJzG+87tY0PTp2e8+7eHb/QUtnQFTopBMag1CmhtI/PmrBUWZn8ZR
hTpv7aXqYfAlCJ0quZX/YAgy2zuwL6n66xtGWKMNB+cnnwgczcIZ0tRqgoAxuEs2aaF2qXn5eYfA
MrwnWNTa7HfdrOToJP6mv4nSwFOf9LowuvctUgbpUQtaRTshK9Ejr+DJ7QBQcCq+0iVFKtiMgAD9
HtZwDX+q7diBrr6JLUGVFzP2pBt9MZ01Kyl+y+kc2KdKRxEI5Qcr/KaoWd27ekNH+9hWDHpc+nSi
pAD+0/FuqVyb7hQYTusWVq+glWRKDeiYuJNR+xvVOPtdhSHyranAMHpIGk0adhgBlrehYFrjjmMC
gb+YE1/4nCIlLCqQ+stoJSHN++F9NBY/vXT6xwrknXrD2h0wBLkn9y4gsxcU2Wt3aFtPjfxU7i+p
F2mHctA0yLdC+zLQq90JQ+JAzn0BU5bFTUGuAR+1Nve8UbKDzFf1/hKDdXrqGraZTuN0ybJK+igX
dv4kIUX9/Ki7U/SFkpLbSQDhlnegpinlkAf1eDFjST6HPoMtB1n3lKvFbGqws8KNzSScA9dCGQOL
S6BC7QPfZouHy5gOYI+8friJfUD/NNpjf90w9SIqp4qoLi73+WbCHaLA2OijZS05gRshPPnN7If0
2vN42XER4W6L70bXCyPcT5DvLS8plFc7rSuG4SLBbgg9TOK8KXpruiJapr7NZWn46kB7g+rOGEkP
BysQjwDWKGzCRi0vE9Sog/XaTrPhgvQjSuhaDsL6aNflOB07BNK786POwlEQlz/rhU5xaa60nUrN
206+ZE2hnrXA/K0CVHJK42yPyWR58VNmo7sONzEKS7TAl1eyaYchrD0O44ut8bOGeOMC1i/eiSNr
H8EIC3npp/LiUOc+QsJvNs6Yy5c8ZNyhrBgMcNqA0pHcWg8mtC/reWVqcbbz2iz8cEzlC8OlOvxx
NLwHOpkPuwMLIpOhJsRgpGWKwPnq7iIHAPLf2NNlGtOSeYsG3GkAvA2ZpD3KtI0PhLQbcZg3IgUV
IQH92lRdSNGklODNqVIxt9SaIxNrpXG673DrSE+Zl2FuejxMdSvaIv9zKqmRa+LlRY2iLD8A1tNU
qE/k8HuljPVZGycp3DG54RTgiSlqc5ZVOo9i4a/2kJvLlNPSlC92rX7xpbB5spLgT9Wqq8c/Fk9c
Mk4owuiKLFuwBoB/P85a+WJm4fi5G/32TTc1gSvogx4/tyQzNCh5PPKeMxYXpk6jJ54mdbzofuQ5
Vz+wCtVFaKti+l+DE+Z6/6tt+AZvRkAV9LFQyzMWXy1tbcE3ZUzkhA5T0VX5renzx7pz0HlQF3ht
ZFEjiCB3DhlPIEIoQQ9RTM5sfykUudtx+qxVaEjdX9SixfsfgxSkeMSJauViE7O6ADAJY+el0uqK
OZYs6fuzZ3TTcCiVwGyPWpoZthifUDl7BR3pY6gzMXiEcyr55CkwoOhhm/cMzdqm9+eoV8W3+z9x
ve9kZKALBHRZiAYJ137luqPmh/Af0Cqooz5ww7r4A4IAbacosmXEEVUIcN8K0MbFNlSSDwmPESMN
YMvln6lneZ/5n/ZqjC/lvfmlSmwhF0BCQwVBuiz/UastYzmAp7PKbL8756HKkGScRjkDOiq0I4cu
SPPeLZBLz685iKL87ZB25btKriT1o5/HkJmlVuWYML9JWtU9+XEO3lXKPKc+DmhXpQezMvT0zJAa
vumkdjHcmNM2xquGEqdxakw5VN1KM4pPsaw3H2RKAwrzWkXgfI5LKF5lmJaSbHgTNeGUnSYZZqef
KmBLyUYRoqx+8MAoNOiVHRkGV3+MnuE7iPcEbdfRCiUboOgQ/EGRpauLMOzXYwuEVyfNsWn3ab4X
HdsQPiuK2Xum1h+eXIxHP+GeeQt0qebeVZSWRMAve7o82YDcXqeeSiM0dlLEVc2NmTRZVnXIy2Bt
psW5uCnVXI98iCC6S21F39N+Gn6qfZ2C1nKkY4hy+VsfZMrbusnpHasDPIJytvsj1rtqAv3kvQlw
gl+xxBf0ltbGflF2l2RAYdOn9vw16JAebExoPx89s5Q5CWX0T2Wx3EWsjFF6SJlA64BRt+2BWTz7
NPnOXsdoY0HcZVzF4HQ1oVMw/3a6VklZVLIgXjMZwsqT+jyhHHxQo3JP/WbbFB1hwgPN4SXAh8Zr
3fhFjamoS559eF4O4iX7TZb6aCckb5qC254IIVAFLxH7VbwDYNRLRVh0F0bqajenifpHQev8venv
d/bWjzO+kykGUV4IYpeUNvIQ2Z5jtNii0xEqEE3E9ien8T5AIAYpYKJ7Owdha3Ei8Fk2LxUeF+LP
Xy0OpsJ2ZAABg1CFn3jxJudM1odrxgPr4X2kvka1kAKzAGctsRloQsJAB6D/0gTwk9tJibasEVjn
tICL8767O/zqeViHQAPJBaI6NQ/O1nxVDhj9oCgH9SLXEwj13qjK8jyQqZYHGbIC6cCdk2uAkkfQ
UYxcqHSakbx4sCTLRJgQX+WQ2zCD8Xvmv2KiKSapNr9CKycF9J00TQd7bJpbYPXdzuauwyaAWVgZ
HSFeSEov/vzVdzRhd4XQW9YuaH6rSFcyNk27cU8Qa+0tEP2LIQBRQiA2L7wlq5OklkJYNmEn/ey0
SXUNMmojMKP57v0vuLUeMINEEopxSC8tHtajAVi3Ghr1MihJ+5ERMJS/IITc8ZMNK2Lii9OqAqej
KjvfNSXTbMkIoYGmu5rB5mqorqgUP/wqc5DaYctAJPOCXqqIhRZMw0COfZdGDzMiguBQUI7mcD7f
37T150F8gIwYl1NF322RrBpp4cQBLHtuneXhGwbso3PL357MyTN34sY6UGGKdwWNMxAyFMnmO6fH
peaN0gSiosxU/VjAZDZepBqBlUMTNsrvba+0oUsrfHeR628m1PvErU37mXbH4iqThtgD3BaGbkTO
BnVqVoYDj7Uxf9Q3KP5R9sMBBUML1YH5CuOAKy6eUvUC+eFwhtfAgPrE3sONrVYjmE1E8CUq8v5c
TmV0aueFVk0FIhtM+9jo/XDseXPvlCBW8RDAKDk78p7MwyExsjhNpJROEGXycKnrGDZBSWkU+2DK
jZwd+zTq4hsFR0f6u1H1zGTCTG1RCjacKYge9Rp+h/aSHWgwltIUnu9pVzQwzccJv0NP38LGY5x6
w3yXOMrHPkvak+nAvHv/SGzsr07IkhlQRTaOXGthkRd/M5oUELTBLt0OZrpLM2j+Q9RsPNrEZMPL
kAsi3YBgF1bMrEOfRM5Mt01LGbA17PLMnWU7Hrk63ljBSTh1LAQM8eI+CeGUa1JnMlymLINDBV7r
CJcBZLj5Y7M7v9Zj8YSnxkOFh3x8vmt9WippNtKLtlL1J4OX3tfcqvNjNPn2jmeKnZnd1KyJ+A6p
DH/jRbmIwCVcJqpTJ5ob5OCrkiEPT4Nh0X9Lo/FTKhnmE4rfiC4U+cPVihfLrI2WtyAMXexm0dZR
BzRec9UaHmaoBO1rN6bZqY0a73TfCcUiVotkZMihAcwSl5M8yFVPWitjKuiV+N3o9PIxp6f0JZDK
5I05dfGP+/ZWTi9m9KBLYku5dswlb1KDRogeGZCA2NANncyuTs/aYOQ7T/QFM+yLlxCAqTDQO6WL
v5wUqf2h81SNGk8DKVJ0NIvYQs4OOihwrzAWoc3RZ1Dq90nhJBfokIz3kzGWX6dQz9MbXFuqfSDC
wlCiAAX4kfeQkBxHXc5RvlBjo/1gJDXA5Ptbs3GGRApDOOS9T2xX555taF6n04ZVXSkdGrdgKPQc
eHALGbW+RzK89RUYHhSnVTSVl4/mESokCxI51fWkNgFdMDZXU4rl2+MLonxIDZuggBbn4iFrqXEN
KKzUKcRANgjXoXMA+J8cwi6Mrv/ClAhvvNAF+nAR5WpexOifF7rrdCqaAVpcHLJQk9ze6R99ruLA
HBMM6STQ1H/mXynoKgiDAYAiP2dOb1BF1I9xoqQ7edmWLwBAogpAAkjevLACMXpAlJXgqRkZyY17
aKYNOfBOTpBIO2FuKfotbgj42BhUFgJfMizj8xXB3Fn3Th3p6BWZzaXvTQc2lFE5675Sn1VlyJ6k
WMvfmvUUfY7yavxQBH1+QudgPEuaMYHsTfY4SDaiEsV7LmL2mBRnyd5rS87oe6RZLtD/8INuDOa3
BArfK9cMQ+qT1Oxcktv2YMTiTBBul8DmTE2UMvZDw1ViRz5WTM6j3XFqQyWHhzb8ed9Xtw4fJKB8
Pyr6gFUWN5gDU6LUSb7hBvTEaLIH2nODjsTOkrY8CMVCMhUxj7a690PEESZIhTl8RpW+7xDFOhVU
ba9S5z/G/voSbJkSIcsAAQ/sd3n5+07WFWOHKQvZYTeVEnwHRPzOC2KV1kNXQq+PUpHMHBNOMXdT
xukTQxqIJllsVScU6YezHoSM/GtpfoOAsHhilmOv37eRA4g+iGiykwDzSpobNSKGewUnlzvEU1Sc
orYtvrf8lPog90NV3aIEQq3DMKreX7IVTd/ue8rGN+RJJnTVmOvjYbHIA3JjsKMhZa68VRsq7UVQ
fEpNSXcDKyjP902Jf9QiD2BgR2BlmPvm5C2SnQGdF9APLJSvaRvnGiIt8xg3tOOfcqA6MI7Fnj4c
KsYbPtp6Xw9uiRaRf7n/Kza3G2JqxqdokNNomG93kGd5k4+wBZhjEaNCknhtAlPyFLyTFa/PD5VV
ts8k6cXJGjJtx/jWbvM5YaoRnWx9OQsEiBElHauw3K5Ra7euiv4qS6Z5kbRpjzBgIwQw6vDfpha+
XHddQ62uttw2q8wj2gIqQjp6frq/m1tWbMpaoL3FSN7yIRz2U6fB/m+6FprIV11JnBusYc5O2rJp
hRyCv5jv5K04/2ah02e1jcKc66T6eKu16A9Rtto5/HtGxLd7VUPqtQlix2IwXSNAyFs2hk/yZO9N
gW9FGEgVuAUE9Bbi+LkRbQRjqgtsT9w3b4nf3mGMy7dUxYKD34dMAPwHeA39lP93/vHX+XqNat1a
lsPzFyImMfC2PHVqZIcVAmCmCw44/EptP37b08F6bAbyV4Bmtk0AaOkYrkrsmRQwIRgmmAmt4Y0Y
Bz+UkyddAnl3MHF9iLg9xZA5ZR5Bgb74UAwdp9Yo43NZSDIhEL2nlLrVASazn/e9e9MS+QrNGNIx
ikrzr8XIzjAgkQUpn9qXZzOTpNOolNapKbO95sE6PWBROgAhkSsBlhCO88r7Ek2ZooGb3IXLsP4y
cNag0la8U9sq6sUzm/DhxBl7WCIQQhSwQn8neWVPXKUE41hunkWH8ASQvX/fgQg+39/FtQe+dLIY
j3KAGOjLvojFsxKt7xzXiJLgKpeFBD9LLp/+hRU4xRBKAFW9OlnWVMhVPbGgCMmkayunkADCLfvm
vpX1HQZOglkTNA0EHGnZdY8QGqtFxdZVJk1jftySj03vd24Whf0l6Tso7IaaEauqV6+9QrHpvvkt
L6EV8ws5QQVObPUrL7EaiUqt1ROjkl45ZsAJD3LdlnD5eaVrj/Ge2Oj6soSOnkIg4/7cJVCdze3l
FUzXPIYM17ArIDxDLufwn4Z+/LPqqFudgDvYv4HS897XdB32Yso6WArrgNiAGTBauuyCK3nV2E7T
c/wgfOpusWNW/W3oSz11vSowklPTOuZPC6GHvZndDZcVbXdBgUO7l/82X3ec1JCt8PJwVTWDl9gs
oKkeoDK4/zU3wgvT+dTOeH0InM/izOsM7TV2EhhuzVJxHHAcMNkrR7WBcPZxUwypE8jEpQPNyXxB
XZAzHAi5swuPhlWgZJCgazY506cAIh73X9gSKR4VTIFgWNgSKmAoGaamG3jadEykOHkb9lx5BaJx
/2ZZAAKB3YAmxkPny4KzQWCjC9MtK3k45QZ8WXFJemVR39gppW4dBWS/qPYAWVJX6pWVFTm1qlVk
Oo01vlP9Xj2hgaEdOwjGvuh6hgorhKwHWF72Ys6WM1ItFlzgQm5gGT9H2fNUeA3AA+uhca6QTHQj
U94TNNiyQjYMvJFyMcNgi61MCgvxTTodrtJN/bns4ePumf3c2cVNKw5tC7gGBWhpcaPyqmiDMjEM
N6mi8EMFyco7Sem0T/c9cMuKweGldkJrCwTz3C16Gw4rQrXu+pLPiIYMv7MZy9VOVWPj+MLMLtyB
1jFJnTa3krUFUnWyEblqbCETonjh0QJ5iwtMD28bVxrph0kewrweGfDcFG3UkO5yHblOnnjwqARo
WcLCfHpw27AihjbphaP6TvF0boUUX+VCswKXoFRee2uMoGS3453q1mrbsCISUdFKBeO1HLPya1XO
KmgZXRKvLjkMidf86Ev45JJQrh9uDAtjhi1Uwri0V1WXDt0rxqwAapUM7v9IW1FlZ15/r7OzLnCB
jGDX6AdCjMVjWlzcry7m3DPRUGvQpRxEVfhLaUNIB8d1WI7R75Lm+BWk5k1U/lMUzIselDFH0cUx
GjTLy9wchqsxIS95iYbODD+MhlOUf9z/tAtCA/Jzqnykl8QP7hl6QQtnlfuUiXC4J91ySLMz2pV9
9rfGYLB2gtaxU6pjgG6U/GXiSFWXooDV+9OYyaH23GQDdKAd9KNNsBO912g/+GKIBLg0sHiRR8x3
rYwiJ3UQUXSBzobDqW3KpIOe0vPGZwqGtvkc2nX3o/JSQ/maSFFX/lHA3qMffTVEURRIZ+SfpUDx
zDdTSF74pFgIZ+8Az1cZnyDeFxxu9EIp0yyxQxJkiEFuoJzmV02cn0NktLqjbXQFdPhAN7KPSpZC
gEmhIuyA9rNbJ3RVZWfnbK4hWzyuKdcSZoA5gAtfxDSVkY+ySrvYzeO8qU5IE0P7aGuQGn3z/Haw
PiuDmvca8mthFCQHNYMs8q88l8vvZQZSUznfd6hVJsrPoZpLOIDgiCC7eMjGoSwh5Z3Hrop0uZDw
VODInzzlgxL647um8faYIVYxXTRvxc1LRkHre1moAvTR2oXN3YcskP8hbRgrx9MfrmcIK0yoAeTi
lNAdm3skaEj6z0GSUjhVm4PqpNmxiOTmcn/zXvLmWSmMXjQoJxiDQJIwWbAwA/OEbjWZHLnkgFQV
E7jzx0PZdil08HpYwXqHJFJvH5EYUownSmFFcoPjOPzRZsWUfRhSVZuuUFAipuFbFnwT0JC16UmF
5bw8R5Ki8+n7SE71Q6dBhLGXK6zPBN1e9ghAB+VfXtjzXRqt1jONokrd0PRzVC8UfwwPqKoY8tGz
C2ZNKKJa3RmJOb88M0ikmkdFG3RpJ36sbxLerSCL6PxQyqPBP/8ZDqVnfSSvdVtjrK59Vf8oHT96
w6DW3ktkw9sBM730aql10zeYW2rkbkKXpECGpzPTL0x7Bic0heMvsTqaJ2jdpR0H2XB2AWiCJPmF
tHhZiJ7itCxg7YvdSA6Cj6jtGtMZ8rtpT1xwY13UhkTXntFP5pIW66L/HPl9ZKSuAY7kPMKbKZSn
4/HtEDXTn10S71Ul15+MTwXJIr1ZwNN0DeYbKTVapnr6lLsl0gPvEXyQzkZCyyBz6j19vC1ToHYB
R3KOIWtYOGmvOjjpFOVua4bB2RzhOzlMucGgXxdlj6aCgiyHVIb5WUFCu5ykKf2qQwI8zN3JzpCh
Ndvw3BhMNjY8JHcugs1lvTIlzuarTCOVpGk0qpgdnDLrmKG9crB6teDIycbO+Vp7B6tiboITTsIO
2crc1DDwXMjNKndjIymPrQFrjNIhgdRIyiGO0Qa+HxXXTi/MQZXACAo5lLNwRr1OqeGURe5GTTQ9
RTUIf16o9U76uXGRzs0sokaLrlI3QAXBbFAVnOo+8v6yh7E7TbpfollsSVA4ak5/8M1ofIO8e/Nn
nyb2zlq3viJ9EB7HVBl4QyzWigZOK9FzxGGmsP2QjKDgR0nurpWuPEYZJzI/YBdMQlN4I7XXl88U
+M8BanqxeDRGHxl4rVwFFaRDN9jO5f4H3PIXQIswgWKSmpE295dS5lVM0Sxxp9IsD4XtxZDV128k
GUi/7BU/71vb2kLQ1rwgBO/YKnY5DU0ks0hTV+oM9SSHo3KVsza9Np0anO+b2vLM16YWLhOjyO3B
yyTuu5bQPwJDTU9d3SXmThzZ2kFgrAZ4W64bWI7mO2gplaOmtp+6zPr6nyk0VP800HNcVKkenpSo
M3e+mEga53mIzvMI5B2wZNqry/g/SZHPyAd7WCRyfpKAyd+szKs+1uh3/U2KN31Azql7g9y5sVNI
3dxSOhIAN3A/YFbzlQ5aGA2thFdWTmu91WDHTS9Dj6F/8ekEywpjo2Cu6bvP7UyZZAQGzCLuGEDZ
o1seONQm2hPvFA6w3Edyc0qlPP3EaNHcSlXkFGBTCyskzScNVsrPIyf/WVEqhdJDrTyliB6Fh8fd
EugRWSo5kBBqnFuFX99gkthMXEUCQlnRyITms+4+37eydc5oSNDo581OsrpYWxLr8ALErC2Luvov
o0+G5K/AB6j0kWp7GJ/uW9s6AUB3qXTpzNsQLeZr4gTIZYgsldubavIFVorkiqxfdfGQ8PiqppHq
3re38kMySOpdkF+YqIhxEOb2JlBwQW/V2dWyIWTVqF2ilmNVj3ohViipkYvwmbjgxK94dWmDJqpk
MMLptbW1IXmvFn0zfbRMD1Gv+8tZfSwMiYqyIHWhObbEvkldn0Q1An3XJETMLuz0AECygwIYOKlH
vY83GETAFtcXFTDSnvmaagg6+wg6rGvktQ6ifOjyXqpBU/++v6KVQ0DoD5gPVLduEuaXbG9kDI2G
elJ8pd4XvMl6w/tGcoo8mwHQ6xgr5h539noLedyIYg6HGarl5RYGbT0YAxR9VyMIqmdHkvsfXtm3
tzQenJ0RiXVVhrcmIC9xeGHioSo230MG4aCWjKroqgz6gH6Y0T91jGV86Ea5/Vblmo2seOs8OV1f
P2VgJ655nYUf/cxId47d+hhQuRJlMrg4+Jb6oi7bpUbtGWnKoikUvZGpdFzCKFJ2rKzCpCg8Aa0R
3KRcbiu4dzCgEVzY4bWSVenQGoP93DvdePTDqf1eDfL4Me+Z8XvYUbFKyYCmMfiWVWUbwRBLorUf
XuV2rD61mjw8VyiyfLzvp1s7iB0wNLTBBfXy/FMyeOXZiaGH1xI6nWNcwjtUxukeNHl9GkjmxESu
oNcTzGFzK7aZForfG+EVvF76sdICEARoc+oM0Mll/7eh+/7n++t6AVfM7jY+mkgRGBQh18JR5ybD
tGt5YcERB6G2Ev7uSBVwJFOpNO2DJCMPcoVPUIMmhWfkdGytDqU6CFW8k2l1sneWi7hqnlTJs1Ba
4RPrxypt2vgwed2QHFqiotoeHBTs0g9ya0e0NXp1zKRPns7c13sFcGX/lBD8zTfIP0vhGVWS7uEh
cSo99KoAy7BEpjkWkYzuYzXJWiC5kgns8FihS/GXU8JRc4ytqP52fz9XKRdZP3AZAprAstOBn29n
0GuFPxVKdK2sorhYU1M8TZldfbDzunurJ578c6QP5HaO0z181RnAlBmAwDjFkuX7yoRSKqoZuL3C
7WLDwp/ZLiQ8e6WS9RlHnJ25AmAgBE8kl+brM2JIS5Xa5Iz7ztQ8hWmsxpfMaOvyQDkMRAMw0Ta+
lujZPMxnAcWUoHADSU93njM/N51qPv9sT/KviB150JV2knpKeBv3j16yFGFf+iM6mFaYuEUoeHWb
h4MUmkY1hVeYse2PAM1A0zShDWl110x785erE/9S8WVuhVtCKMQvnLNkBtoqtDa8SoMCo2ujHXSE
iXpH+jBJ1Y5vrq4+bDGWApKLBIIB5MUtUDlTm0s5RKG56lXnJvGQ1Qyn8gkxvu5y/xis3IQBKvJW
FSg6iSsV7fkeejllKVoSBDL0Q6N3dR8axnMfq/ZfmdUFwbFqJR963sZKP9w3vLFGGvqUGeD5A8ax
NGwxcJ4OoDqvvN8UpCeJ011jx8fBHqIdP1ldCaxRdDn5brCTMmA6X2M1oEJK+Te82lE6HkEpVAdP
6b3z4wvC7xWyS4HkXE4lFm2h25QKo2vbxwFCTFD0DkiTnacYkeX7ptYLYtN4SDEORuIHdnq+oJ4R
ztwZdTRM0qFDBMxWnhOn8nZunPUXokNF3w5qC/6D0sXcSmqW/lTZgeomTRx/Z+zRf+9oRfTFr5w9
BMbaCzGFoBIlLsIFw/BzUxl5XiFTqONqMj6nlf+maMPnLFP+ZFb3PfDMh8+XDsBYpFf4BVrr4qy/
ChxyyNuerpriFkFjX70WPERkqMUblOjq0/1PtbGJOASQKxIF3Hw5EVsphRl4HqbkzPpME3e6abBN
HhQJ8pOHLVFDpv8pXgGExcUetlVrAxlQFDdBkZYJlqJlFsaUXaroewX/dSzkwYEH0v7hkzFNOt+/
rBqT3rRz1c39DsoJUz0rSfzDjqRT1cKXfX9dG85OuAWuTy0LWrxlNcvUfFWua+Z7atnSPshhF71t
5N05rE0rYlxbxECcfhFylRGydSPgO8FENr6HSNI8y0G0163b8AZHgU9EMKqI7vSi2kLtgaEV+jku
VPIytCpOrlWH0vHCH2Vp1sPDEYnPBJ+kaLkLrYrFZwps3y9RAlHcUu+to9Ir1WWip31JinJvimNr
+8jZSGyoXgHCEH/+6kTVmo74COU41w4q4ymEC/yajdXDRYKXaVseRmLSizRxsX116EDtFxlsX4eg
dZ3p7cWDp2bnBbEORrgZTUGo22gx8fqcryXwysH2g1h1u8liblhO5bS+IBWZvlW9AVb6Lo2b9OAx
BLBXeV+7BxV+WtxMHAmRn6V7BDZj7VGlj24T+c5TKlEIbwbHfhNMxeMfjNSMEVxRB0HXYEk5Iw2D
Z7X6MLpV1eRnxW6MIwLzezMVa7cgD+TdApclUZbBhvlWJmYgl53mjG7qJ/0BtePikKTjXtVvywqT
Z+JTMWcIpntupQhSWjFtMLlaE/RHHvjqqWjsvdrR6sEAAz3zx3SMqbeIp9/cigTXDSOiw+B2na49
2V5m/qO3dAkyOw+/VdNkn+rAyf5I8maPjGbtFkQMaHXhVCBf4n00tywDGgk0o0NY0R+qa9rB/Vy1
VgllBYqP94PtepGY4q4iQqnCBReXSOJVSDSNDlBIuylcQa9iH2wnSW5jXaMvHrZozPFj0mMzIFx/
3/b6M4LmJUsnGeVf/Hu+TF3NJ90xQxRiR8X7GQ76BMCkKX8+bIXCHNkTpriXl5RnkB9YnZe1hgsI
GiWPwE67L01U6HsElxsfDXwdLRhRWhLUOvPVJE4aBYySai4yafI5l5zuVI1jegpRv9v5aIuN43aE
EpGRDF5bbOAKZie1+ejLelDeeivwpsOodT6jcyilPXYT/7IDJI0GljgLyxptXBF6c6Msb9poSwhN
BPo5SBFov/+BFuH3lxX0owF5Uk5fMR4U+TQNAfw9tyqL2h9SH1i036GdrE5yqo7/dKkda7eQNnK6
Y3hzG18ZXhxwn+sFcQazuBWSKn1KKIV8bvL+QQjhy/IA97E4gWKlAz/3i7xR4FmnzX/LLB5zGaP0
V6SOx7/ub+LWWl5bWaxFsujf1mla3gy9nd4Fue18jAKv2AOgLBLBX4t5IbFi+pAAtTCj9l4+NUzO
3CIUSs2m/5SxsqPRttNhKGz/sWfPizVuRognyHChD15Ys/3Em6ImbW5kPfpwsnsIQCEaneQ9BuYt
FyS7JRJiiyrG4uyqed1oVh43NzQOi/iUSYkXubzIh/G3oC277J3sBX5xBkOhj9f7H25jRw2IsqF+
JnETguML99C7WKcK197qpgDa1sm9Ml2sIW3bY9V4mvE9TpN+eJBHRewszsjUhiBToTC8eCEz9ldO
BlfKLYlQwIkNEwUpMoTwQKYIlkgpoydbgoz58Q9qksYh7cTjiMxxYXYaKj/ukwmzqtSD0sid8CkN
4Ou6v6cbh4FCG95Je4lPumRAcgBrxU4YVDfDq70WsnNyki8BSqPZb//CkAMOniyBR98SGxfTC9G7
0ORsdxZczT7aRFI37I0obSyHVhntJaI+UXLJzsVwHL1iP65umgoPoGS1V0OZPPf+UhaJAB4hxtSI
U5wCyvXLkx23luqVY13eBqOJn6yi/t5CqXYwgdc82Yk6FR89pPyCU5Kp+d6E//oMgCLkgU5lg+Yj
9/TiDDhq3VB1Km5R0dfPRZGA5ZGUfgQWYlljfDR8FKZ2XHF95Hkxc4MKHgmyu+U73TBT2eo11qvn
JCLHkmL+c5E2aXUukn686VbXnBpZbb7f3+atpdK/I0Vm/t8EAjBfKpSvITOqanVTSg9ECJLhSuqm
OmnYMVOSUD20Wa6PO+dhY62kV4xOEGB4vy/XapaMmfklF90YDdX7wmG27bfMiqPkneTEoXeImbkJ
0VuanOrr/eWuXVeUbJFnFO5L5Wpx4Glsm0PdMcSNHG365IF4oINRPIg1EL4LOpfetRiEBQ4g1v/q
MaplaWWOfZ/f2nKIXdQ/y499U+616jY+HVZIynl4CKWlxacTUOUsSpL8JsdT/mSmmfMPyLPuxLMy
A2eD+OnD+QnLYiCA4QC4NDgf82XBeTlWvYqmZ+X38TGoYLYKQhDt9z/RIm/9tXkkJwQWpsS5aOdW
0o5mQhN3zNmbiKLmvglVGAJc0G17e2WkTW9g1BKteB4cQEfnpirZU7Qo0djB3mgvdttnNy0Z9rKG
zQXRqtGJljxqlt7OhRoolmTmNy8iH/LDajp1etc/91VYX+7v3aZL8H3oVIlS3LJUVUaGBYELjqcG
/dQfUq9SLwDUoctVRsN6q3iF+lgV/dfXoqpNIZMxdsaL51uo+jl5qmPkUGfF1p+GiuQcEiXhc+pY
e4iQra9FfMQvYBDiglskRbFf26MpjziGqnRnKxjMU2B2004c3vpaIB0hYiL7IjAuFlSDdgeh7Bc3
8L/tlyipzOeOWe03fikbO2FwyxTMjBwojioIam2+d53UmGWVYAr+Ffno13F7RqPWOI1tFlzvO8bW
3r02Jf78VUTibTaVtPzyG4rVZX6i0m1Gp4JE8PvjdkCAcKS4QSmGLL6RkimTMih+fjNTbbjAwme6
zHbtVeu3Ng60BMN+9FREMXO+mv/i7MyW4zaWLfpFiMA8vAI9sJsUNcuyXxA69jHmecbX31X0jTgE
GtGItqw3B5WsQlZWVubOvYsKZpUK7UTS47L0XzQ9yXVPSbrWfx4gMN7LxjfNMaJGox0nt9ZUe7E8
tHZuzTje1JUHNGPDp1itMhf1jXTnAG99J3JEuGPJrURvcbmyXoU2OW6I6ezafCi0bHbrsq0O97/S
xoJEV5RrUJR1wBgurbRFC4F3XXFoW2kwvDHq2h8A9NT+AxUdZU/9euO2B4JEgg0uTtBYiqD1zvfi
2AhyFe3Si+Zb8lMMM1MUqJM7BbabMIrkJXqQ7Lj7TRykISsm9bmHGSkCsLA0GUmBlMFDl0OvJcmf
zPi1LL1SntvDMEp7xY9NW7SnuEdoVFHKXNrqdbWUahuXt+eQrElKu7o8FXnNV2uCWPtUS9awE3Rv
vIRHBA9D0lPaBQKvsDRZpkao+zRwLvIUTR9SKsNe2jbdzmPixktIFEQ7h3YihRDsLK1I/qinCL1h
pTACT61b/bUopvwpdqppJ2xsmUIYBQICivcMbK4iYTQUcm7nWXgZx6BwKX4zeiZCextHwQ6ydsuU
AAUwqsR55o5crkrOIe0CjBxcqiw1nnxJdl7VzkpfaijIH002RQGfW1/0dGj7rjdQK+WwsCYjuASx
BVhYqn7kybTH3XrjfjDrijY9wG50l6ndLdeT5qlvRU1vPanG/JopyjXyB9utmvhbL/kP9geI6YK/
VVAi4Xk0MFcu4YP3yLW0LS4x6f3RbH0GzGw/9g8VPza496PUjZdjjJKAyKH/wR0tV6YrbdBMg59f
YiNWD3k4O+6s5XtAybfi/DtYk1gTkZbHLEAAUf5dXSaoSA8F6i3lxVZbv3ehbm1KL+yiTH9KDbsp
rq025+PzGITpoS653dx8iMLXKlRaY2ck4eZbiseumOpFBhHQzJoVyJhBSPNuYXun3GHQwndkaIE6
43c7rscPTarI084e31okKIupDjJG/qzxqKVs+W1eteklas36Z2Mp/ktaosl1tbvEyg7AZyJlx+Tt
ZxVHj6YvfsSUsb3abweqA6Mu9fRSN03tZlGmeDY0JztvlZtjjt6boF7nCUFuBX546TxhgxOP6EVc
holuDJlK504thBzFbCQ7pt5uk6UH8WZn2IFXmHgWrVdkp5yGoKkgtO6C8YOuTMwHVGETYFGOX5wU
yhhbMTpX89XwXKp5/sK7zfo1BIaFkJge7Qk/3e4wtTTBGShAiDj36kYqkgoAaZXVlxy509/FUIhb
O+3e+PaWFaCUiMaSRqgAoJY7LDeKP49O0Fy6Xu/C42hq0rXrk2ZP+HzjSwoQiGgkC+L+dUqJ0LoV
NmHTXmz4ej+idAJLqdYkv6f1rB4ejTi08MBXUQ1kYXSTl0syC3tIB6nPL0WcJ4FrzpLxpVHl8dt9
M7crInMFT0AL2YIDfg0sntJKI9GbMdOaukcG0xyjjhduNMfm8b6pm/NNaYCVMEdlgC/m4b5c0TRD
iZk0xXypgqFyw7IP3CTWkgPNypqZpuL3++ZuVgZaDDQv9x6dE5BqK89rdMbcwUB1FxjsYjctW+UQ
DowScrnvQYg3TJHgoeYjojZzIyv3q7pAtifBBlMgL3KwWOlrlynVc1H6DxeNBBqa/jGVeCYVeewu
NzFscrOznFi9dBk8qcWUlUcjMbOdxET8wosoQl9LcFSJsR8gLeu6x2yWTPsjds9rsA1O4eBbT/OU
RL96fc49Iy/VF4SSYIy8/8XEF7mxSiGOpjJsnMb6bYNijSNNzqhe5F7zEeOs6+PcQjDvVOnwqsxt
/2zlevZaI9f6l6blewWLmyAihurFiJ8guedArL6iXpQxQxfOdJFqU4bjqh7dRG0efsBhhfcHDM7g
oPCZ1ZseRKadJgqnoMnH/DD15t9GU6mHwWR66/52rtdDesRDkdYQ4wiCC3hlyW/LLk3GRr5OfSN9
HDjn11LbVatYu8qbFSqLaJnwlyrj0iFH0trMiez56st2KeCt32p9+KwCb3Db0PgDFPPp/rLWYUQY
JDunWEvSzH26MqhGVTxZrTFf08wc3cAKzcM0hpara+kPVAa/3re2sYli6AKCIjFuSoNmuby6MkrT
Sqrx2llxcdBryfcg099joRSf4r3nk+7AE0QjngItwXjdH5dERg38briiC1b8ZRSKfijGuT+PlZ8+
+VWj/UyRQTvBEbmXsm9ZZiiSSpJoceD9y/W1GiNihhUPV12Jq8PYzM1BrZrmwK8znezMKj41o2a5
flU73+/v7DpoijWTF9G4gS5PaFAuLdewWc7aMPRX2DblI1B8VH4CENK5Pz8an1USDw4CZTQqnyxU
fOR3r/4xAoaiord+7crZ/JaWZc40qBJ+K60x2fHOt39r+SkpOVEA59TBXsog49KW06ZyGPVKdx01
M5bdMZqz8BpLjdl/53JMo0Oow+//zR7qIHiaei2ESHjMYvtV6Z1Q8RwZlNCVhDKQjlMqj8EBqSpu
5kf3noHwN4SakKC7GfEZdH0Y1HHsrsxRgfuI+q782Md2cRICIsfHbfEuBCaBE9PHXW2I0RdR3Khd
d40ys/A6SmkvQzaEnKVy/H7f1O1hxZGBpFs8QvGo9VxlEoRKbhgtLpWUzVfHbtXvUxo/yMnJ0D7w
VRR7LeiiGEBZgxZkPysaOzCba985vge9ZOoFpr7HFHDzFnwzA8KJRx9WqMsuHUmFkwCAcdpeZ10r
fsl9Uv49BmN+blu0t5PSnJ5DM21P9KPlY9Xa4cUIB/vp/oYKGytnZsyNE8PzRchUrK4QyDNm5I/k
5prEcv5q+GX8oVbbUTDFjzuztxumSGhI15hHJLSvA21kZjFCt5NzTfs5uaoxUJrKkLqzCWfBjvff
uglNTWr2FAAphJC1rXZ2ztqm9zP7Kqel4gZ1E5+CoPR3IsE6m4EVRlzvRDjRoCbIraxYOsAg0vhr
aHUB4lGNDSQpLp5i1FIQ/eiT7zoJz9XJsuhUTmZyvv/pbgM7byEG28RbkHf6utMzZ3nfKoZvXSvw
gB+mznypyLgvvG3mE9lCdZp7RfmoMedwuG/49n7m4yGfAkmIYAdSVz6j+m1jQHFhX3Ur/RlWYwkt
ZZx4s5ZObhPIj0KI2Gb8ErUWxMEpv6+vTnM060SIaV2lKNGOXdAN14YL53h/UW9KWMuTQHUAr0Es
3qRksK4KUtuvAPJI6lXVBmcGbRga/ZU8Ve4OFihmArczhv9tTK1QPGmo7OJjbrdafcmyuohASXLz
0DJvVeVjktVWdAGh7v82RJWpupPN0PlTUxf+hxly/UBxmZIwAhduYVBDDLw0exxXt74BaphcRrDM
0wxcp/dUJCdeQYZypePDlMnkt7KGvMeYDh8VKi7DKYeVC4BBJVFysuGkVnZmTG99hDc6zQv80yK4
rIv+gz+3tWEE6jVVosh0TSdq7e9Bbk+/2aNlzfB+mWq3E2BuTj22CKMcSfIdCrureCqRGDDV2sbX
ek7HM6roEUKDhv5031G2rPC6FZhKnrjEseWpn3S/MOgAJVe9lEL/ovtVV3qF2k7po0FM1Ml4pIGO
grnwBoHLAFiLUseQXFO7ZHpOztsjjC/ht4eXI3hOAUHhLbDyig/5LnOqo7qVxjBKr+AyGIlFK8SL
I3vYCRk3sZ+1MIxEyZh/hmxEbOo7K2UdGfo4+NG1GCzrYMal+qFQ+9nT1HTYkQfY+D6YojAm8F0M
Jq2aWk2apNpgxvEVNNF8QFvB9yS7tB6sKwIX/gfuCt6CwuKaSKLJawhOdDu6YqziaaKkReUlY1js
Rb+b1xeGuKEFgpcqB99puXO53ac5fGDRtR9q+3ObzPoxjSvjPOpy8GGwpOpMa1R5sDogVifyARyQ
8SQeLEujVMCrMZ6H6BrKrfSLMY7pV2r34Uto9fHXSjOHT7GZzTs+svHh3qpHfDQB+VgXUWUDoQUF
2odrpkrZyUeAGlQv0fNhf8cn+MPz/035YLk0mCUpyupRcrXiSEMJRI+efUXfS0A2/B0/J40E300f
d31FhmGYdFNmJddKHYb43DSFPp+0pAkDL3OyXfjaljmqe9TWYZzk7lodLysIZ1SHhvJa1YF/HUau
fLtRwhNgo3wnyN7cLJR5CbLcxEBgeZyvgmwx9WXTVmV19R1tKA8OQIz0IwMRZuaBXVYtd44ctAqD
YO76c6CV9t6k7+1akRECuEbNivwLdtrlB+xL1ehs5mCuWm/MB3b6L5mr2wv7ee+M3x49LLGhxBFa
14STpaUgqHPFztvq2jeO/6GU0KdIesv6TC6uHRK02p4Ma452wtfG8uDS4N5mtBI2iHWJLOxBMhtR
W/Bwm8czA4+NV41gAftqV/Z6y5SggaBaCzcaOcFyfX4i+w4slsW1UtA2o8aizjHiZkPTHJVW9qWd
fHVjO+m4kiozGEVasnZSEAK+XSM2dzW1cDgpfju9ALCZPllMPX4y51T5pCBz8uf9436To/MiJZox
i0N2Rz1pdVsHjtknud/EV4snwetYxtrRQoHswogd6qB5GXbx1zmDwO+1TCWjOcN7ZD0c13hEQhbF
zLZoZK5/hYmRd23obekCSWfkxQGKR1wee53F2+ipcuURqh1YovHZ1cesJpWmS1T7l7kKwk9M1/1g
jjX+en83t4yIzpOohXPJrtWEEnVujQp2yEseZekpn9LW05Io33GUW79EIBo8D1Me3EAIEyz9MiGk
hIgiBtdJgdNiHtv2WqAO44WGpO3cBremCJqUjcRznwfjGvruMBWTG9pQXDNGwkYPTtxKcx0DfVL4
eIZ0D1R26408YXB9CKKhNiKoLFcmpVU/mbWdXsskVQ9ZqmnXNJmB1gfj+CHqreCkWKF1KJtgOA7B
8CAnGweB1ypXBNPfBGQqKUvzWSruXambr/M4p9Kh0DVgIzrVjt6FiG/ao3m89RbMUawRHLaUOdbv
45T59qi1ivmapZP+FJaOfdClPDre98nbT8gIEG0goKLUhEhil4tqyRmGdArna+Cb9EtqzWpcp83o
A/lVGexV/zatwVgmdpCa101xvx0RBZOs6arIVXM2zL485xVe2hiT8uP+wm63jzuO8Vmhkss7w1xd
P06UD3Nijz1lcK0KqIPHMfNBOojw+3ZulyTuUgi4oTwSrTsRt9/l5g7q4TxG1f6KTJ/swh1dPKXw
E5zaTp6f7pvaWhJPNF6mb/X9NROP08xRNYMfuVoSlHmyk3enQLL2UmaxMYuX/JveKg9AHaAF98wq
FJajNGpMryhXSwZM75ahlkvHLoziyK2iYexPJOvy3vTxKi8SfIckRlxuQrYCm+pyF5Wsy6Q6iNMz
BVY5+1plU1H+JsUOncmQ5nHmZr0065emn/PwV1vG5R5t5mpv//kFSMjEfBIAsTUtbavlVDOnLj0X
AFevctyUr3rO0PpDX/DNiiDP4G1AqQQQ1XKZkAwlehTP2bnTy1/6PGWnXpP2WhZbSwGpL+bFxLj9
elBGS0DqGIUKx2KZaKWn+bZ6hTjZLx4LHf+/GNFvBTqFPN7qoik0SNPDCV2PRG5Sb1Qn9TmJVMdt
oiq5/It9E0VrXnK8tNd3GrTVEsCCITsHloZQZFwUY+dVQVAEjx2xf9YEUYYokcPRsm73j1Ne2noM
b15TVP5RCvLgQxFK/Q5ab+sLiYlZh9lx8RpY7RzxOCXhaOBRRCDPa8O4POWa9eDoz9tauClVkhoR
n9ZzWtSVSJ1keCKjPgtfjQD1a8Q2h6HZyQJWAeMfOxQYwfbqAjq6OrsV4vRKLMn5GS2N5pDJetUf
Il0vQy8YIbRwJx0FnJ2ou7WDdDBEv4oRA4Lv8iDpTWUPSQkfbCOpsjd20XBMokQ/Pe52gg4JClbg
lTxGl1ZGI6LRBDH1We5hb5dUyIGHXNlDSL+d+ncR920DofARrTeGc28GI2ctKYYuaPNzbXUvkwXt
DMU4JC6Hr2rQfpPa5hnYzrXQDEAG3F+1Fjs7n3BzO2HCFBQxG9CyuBkbLYvn/KxpWXvsZ5iD21Aq
dw7X6qp8WyeEtlzHZPS0n8T/f3dVZrPdyYyH5+eUBZ/gwGleywrAVUG9acfU1oIEMpt8TYxXrOcP
DHWMwRjU+TkeStPtatNyxzB4WKCHW4tSJmIIKlXTG8aCWu2meOorPL9JbMMLNT9qX4tg6vxnaTLy
/z7ujboNcy4hF3NrErIpkRPUE3KolmFcdcs+ql/KXJt2rqjNj/Q/K+seIYXUslF0CJ0rvehPs6KO
x9QYI8/sxr07V6RGa7+nny9kS2B+ILdf+oOW5Tzl9bQ4q72lvGZR1Y5uYfm+25S+7RaguL9yLPbk
h7as0tOFEsQBt8n7fWk1nbRkjhIpP5eakiXHdmzj5lvRp/MPc86cPyaGP2p37GSl+hdRH55lEJXM
l/KSXxnGTCLx0fh+cdp5EcJnPXSKVrs3n7vl+wJPj5dwKTPCulygEyZzOwoyEjjxpkPKLM4xpb+8
E4E3oxbhQjyIuMdoTS7N0BFNJEvri7MUZ8qnjrmOo0+q7dHJM79JWTAxqzDIl7SUht/1EPbxYu4h
K7Fba+c32fyg736RtRsBCEAVGXr6bOp/BsGQuZIjfUmk+rc2GUoQBuOPxw+iaI3ycCLLojKxXDnB
oI9xoOKsw3F6GBq5d8EoPUy6QnChmMukJySfIvdZWvEjmjylgp8yUzh6ZZr8LqdO9C9O+3sjK580
kUs14zwozoYa+UeeR42nQIwMz6FS7ZQ+t9ySK05QXIiRCHn1mVDippWlEFg0U3K+Q+ieuJrqxztB
ckPUh217Z0Z4y7tLJtArv1RSTlnfDb+U2fRyW/3qyNEfltwcKyl4YfjiYzi2rq+2r7QfGNj/uzD3
mLK3oig4uTcOXK6H9VVnSpNqSkpBfgIq/jkGvXlRQCgAum3NnX0V+7aOogzP4I8C2KuvizByVxgS
WP/snGrt37LWS24s90xbjT/iKtxjx9s0Bk0kcGVUzsF3LHdXMUc7D+sQfJDF2ILrjIUEk4hkAXvs
40jtn+KEvGznMt/aTNHAJi9mxPumY27Vvd3WpUBqm/PsWfaoek02BcdgkIed87DlpOI2FwRiDCOt
S3Rhm6ql3teMVY9lI7nDXHS1Z1j5EJ7ux5DNNYGxINuCQocy+XIjJ7MotNSI8zPECe3nRh+0I7Ma
hTdpU70THzfXRB2QmguFOm6FpSm/stQQJXOBjLECV8sD6WTMqbHT9NpakKAxgAWAkMWlvrRSh07b
j2qTU+QnYe7HMYTJuquPTSY9OPb5lkcKXAqkl6LRtZ6Dj4upTYsZkBoKF7nuBhUK1F7QV2grqaOO
ts39T7Wxf2yaIFNn8OS2oConVRhqdpef9cQn5k80eu1Bn3eeuBv7x4uQIjdz9qLmvgqPCjPAlo3A
HuoxtPtdoxuK8tJ0haZ6cj0mewdZ+NcqaoDXpLgI/oUiwVpsfuxDI4vmPj7PSZBKH+ymB0sRQhRR
embla+lrUTpm+lQlllk/aT5sYzsnbWu9VCmEiDqdc+jVl/4SGDRNYlWLoUybuk9tPY2XSLLsJ5XM
68fDH/ANzsT7htIZ4k1LU7nCIKEEVOxcGQpza1VuFL8RO8I9neiNJdE51+iPInvKsMDqxh6MJtOs
REnPoBmUo4WWxtmuTY2mRfAwPTb06kCk346aoHBcLSlVJhOyeD09j6rBivoxeyqc8UEknzhogPVp
VIqOJUXb1Zlm8LjQxxorcVpmXp9ohodgbHt4/PMAe6SPQAWQvvkqX9W7sQZpL6wgpPpnPkuZZyS+
9fd9K1sfhxYPFwhQQd7aK3+LO7OjG4/ugp858Ve0rmzNTdW6u6TSFOxk+mL3V4eLpI3cEDuQKa/n
FifyuW4YovTcG035EuY1b9yCoAnKrfePwM6Q8dMo3+684jeWyPgiZXUqS2QD6ybWALJedqIEKZc0
HrwmLmOP3hliaNq4h0hZoy+Fa8DuL74YuG/avKtwVWl53vSxn/LIUP4jKSFCcqX5q8/rn/aQ0cYG
HfWqePrOJbMRigVaj44TBFKMHK4+otNVUdxNI+U5SHNOs8mAsKnV1uMZFZ0zGHlo1cMcsK4FO2FH
rbqv03NkzYkrz0Xugmm7RAMFNC3z/8VZZr6OWQSoD/GadVHY6qwedLCanOXQLj5ZoJkjL6PUtldj
39o8fPJNKs8BobdKOQa0Dm2d/guiRUHnIhtaXJB6a3fi+p4V0cR7l39Lsj7SNkafWC4L7cn2/eRZ
M5MHYUpv7idqZW8yoehNr+JfFjZl1hg5obbkLZ00U+lGRvcwHy9O/t7Kasd6E4w68ZyY0fm9Z0aF
6cXjkB3VYNZ3zu7ttompF7Anot1O6Xl1d/RTHslWamrnuBip3AeV9SPXRvvP+0FwywrIGjocIg9k
RG/5ccq+DYNpaNRzkOEC8awxzRZHe3FoIzig3CNERgTGT5QilmbyGlbrQYqUcyDrbi5Nn8w0P01t
3bqRXJ4TNf5g6clTY2ZnhFe9+0sUgWcZe8FrCnY5oXDJo2Htf0FYwGwsaedUsq3ulLRa8kPLpEgH
wKnnVz+DeOtw3+TGrr7JYwCrobFJeWe5XFXveH4FmATq1T5laI4cszlsdxLEt3twuTJqVtzILIzx
wBuft5046BzGe85OFaP36oiszEuDrknOYZDl4QFpwrQ+j4zpxJDCMqB10JLOr11j0NLYHcpAmlw5
HIHMF6miSU9hXySyq7dqUj/pw0Q+hOR3A+WDlfT1cxzJ1a+omIq/e2Uqs0Mgjfx8hhpA45L/1hOs
QnkYuhmli8TLfDVtTnRD6+TYFFryZ2kg4rvDpfA2u7TaAh66oJcAFQEZX1cMO1K3jvIdpR66dbEX
FmYRXKTKaJGYb9sgOMBIFQxeBfjuY6uVResNwzx/8xPoIA6kBQE6rwpqO4dYy5P20IBZhppfTwPl
2e8LK/LUTGsfHCYhVgkMryAh5lEJ6btwn3cRUZcKjcEdh4rqJFvPTThEbt734UlWur1m9K0nYgr3
IAMQquDr0p/B2Jeft1pxtrSqPKTdDBFgn9U79+O2FXoV6EoBs1o3/tJikMqxlooz8xXwvipa+wpd
pPxwRGQtcPHzzIORhHtruW1O3/OYi+zinAaZ8wLNrHlCe8zfQVrf5kzCiphppJwMAnp1drW4lJ16
Zi0MEU9eUeShR495djNqfIf7YeI2K8SUYOETKAHerStTqV3lVTcX5Tlq0/pDP8rK16aOu2NgDDAr
K77mRVGzxzIo/tGbE0Mdg+4V9wqCyMtdLDOgTWicled+GNWvJpfzE3DK4DWzAgf5Gak5dQU9SMeS
jKf7y90oEPNkFiFYwFfEuNfSdOVYjQRmjfK+n6blE6PNSeDR/qaWAsNa81M3fON3+IFV42no5Tby
JpgzzeM4y5XlNbQgHhywfjuIgDyFyqEYUF/nx60ODxUYmOKs1GOqupnjo1yt5O13CmXpaSjT8Y/7
W3B7F7ED7wyu0lVZCX01znEu2Uo+d31ufAz8of8iG8n0Gvh7SvCb1sAlISFAW4ptW+53qfpGXXcs
L0zy9gvgz+6zDrHOt17ujn46dDvfdysKqOSRqJvw3qDNtjSnzHqY5yFhze4L/7em7QZvSKI9BOLW
+RQ4YObTBT/yGsAtx5Nm+zJhRqFLeIzGRPqajFrzYRql4OfjXws6dZm0EspiHqTLBflRqaOSamOq
Loe/nNrOn6RQdlw23D7bY5DtMIhsLY1eHvxXYvbyZgDKqQALVZDun8vMTD+UvqV6eVpoRzh/jZ3c
Ycs1BLaG4ilJGdjj5dKkyO8lw6b2HtLV6FBNnZ3x3GWWM7qlA3DuKsM5He/c1lsOQj2adEVoMEPd
ujQa+pIK9z3tvUzrm8atM6sunweZ2Zpvj384kgxCKkMSHOvVMZOyaZi6JCvPtuQj/2Qip4U6Q3qQ
wL8fJSWddxa2tZswUnKdwyMlgFLLhcXzDP+mykGrqaV6GV2iCgJOszhkiItep6mf9jRcbi1ym+OX
kBlDWsKI1dJiOM3j5OTCNfO2AZnnTO6sIyxuTt87tEkeTqH5WDRmcU4IWcy39P5dwlKPVdhqQ1Oh
aaDmsWfVo3Honcn6y5AS+/sYS+an+x/w9iRgUDQsQakwhLQ+eaVflOxkXJ+1RtKPeiM3X5pyqOGj
CPrv901t7SQctQac0IJ2cX0fmlqjE5KN8lyCjvrqpyP6Kkiu6IWrciNeIDat9xgNbs8B1Hdg2xj7
ozvjrGF7VT2jX1Tx8UwpiY7GqCcHEKQPYnG53LDC+aa7RqmfJHDpImTyshXGTBMGsLH3Z2kYp19Z
Jdnzwde0eOeDbS2JmUESW0i5aC6tjjZShinCBmV1DnPf8vywGA+1k4QP55lAvd5ZWZ0zywz7OpaK
CqmGNjzkeqQdGA5Nd/LM27QMKzojA4wraDjF6myhHBDVFcjlc69V8SWZVOW3Ton042DUxedJUuoB
0I8/7sSQzR003nqhTAjdAM1gWrFkKc2rc1AUVeUqvQHxpxFUROf7Dr91tgDaiqbrm6FV6C+0QEv0
NqvOWeunV6YjAHPCPPvDaXV7Zydvc012khcBGRaSJNDOLl3Q6hLmMnqzPBuTgk5ckZSKNyqNfsgV
mPld3e7sU5fqydnqsz1s7OZXRIOZxz9/6aAsbZs9+sBaEFfnPDIumSb/Nyil2B2n9gxJ4ykKhl/3
t3Xz+72ztzoBHSQzoHGxZ/pld2CUbYIMxd8bRN20AljKAgJuUyNc3Wx9XvCfxcfr+zr3qCN3IPg0
5XR/LVsuAoqBDyamoblHl3tnRbOKoJEOFjvvgie6hYSqQOm/MoJqf71vamtB702tolQnaVDymLhI
lwWx4WkgNzovq/Q9ObJNO7Atkg2TYYFOXS5JMWoLHFNXnVMe5r8DsExMxo798EFCybeoS+ohA4MR
ren1VL7UjX2c6YQouaimP6VuSqndpTZ1Foizz1KNUtTOIdv6WGQUdJmYzxR0DsuVBYo5pL2KS9io
mj9peW086UUwPquNusd5u3FXCi4ethAObiLIqjFjRb6GAvxYnwu9bA1XkfvmpeyYVj/QZ27/rAq/
fbzXSuOMpxmIVeYLycWXq+vkCOI8A9weBArmr3wau8C1GXvYo13bKFGSTom5JoE844StDFlyRyTS
oYuQks75gvBadKztqHrW5cp/AWtg/0iaKj7po4ngppk7P4xJivZG5Da+JaUA3sZUOHhHrR83gaZN
4FuBXZopkM6wk4rT1Adh5KK8Oj782mDB/7NlrT5m7puxVUQKOztokjc5iUke2RbeXBvz8f4h31zW
W+dEoI4Bmy8/IpTqjZWETXGeUuqhtdE2FzWI/O9+WMY7q9o45/ShRBub+EhKvgqQWjF36RxPxbmL
1IoUzi++jKUT7kwV7llZXS5RZ0xWlHVU8LrYfBqtYvyZS7395f62bVrBF2kFgdpnWnm5beNswaWf
sBbD6ge3sn3oGqxdHdQtz0c3ETANTo+q0ZqQWc/4NKWK0+l9920ypPqzSnOX3kPodubADOxwGhRp
dBVmxmatbp8eXqWQbaTgSvEQNg2xC+8fF01WQ+6IH0ppHzVuVA7OQU+7snr8EUNGx7CFeFMoQIeW
doZ2Kk27AdkG/is8O/ZcHdNGtl2Q49rFr9MHdQTETUDvmsYNTKsQAazxG0NPkRk1mhzctpL8GmNH
/iJP84PTkDdWVvea7LdWXZt+fg57vzx2Q9l7yE78/fgnUhn6/Ic4gc+03LouHSWjCKz8rFa++pLL
vXnEGdLHs3tSDsFHKXjRMLe0UmVDH6c5oV4BifLcp234YnSjuZNwiDi+rH8C56LRJR5fFJPVVf3T
n2czoqAItp5Bif8kcdz/VNTU+aNvg6r+YhWaVHsxg2LPZLaDc76/kRsXKA9N2lCMsVN/XZewfb23
jCHOKGE72nM++4FX5uOrqnY/i4ZM4b6xjfBBWRkwD4RhYHLX5MKWkcdA80Clot5cPmdQLl3zRomL
x/MPzLxxnkPJdkPgweRUX4Z9TBE1D6c/hlrSvUpm1DOUI+fxNxJlIz4d+DjBK7O6oxHT7qAoxdmL
Ocj+YPxHuWSG+eBY59uRssHQAPdjVbxcln4oZUaaISyBH7aq9OIPtXEYELZ4zTo72IlJW5+IkhET
3MDJKBuuYl9VKpQRYWY861WRHbIBEog52c0QhUuvXZ4siikvUilRyFkuKPSLIQ99J2fIDCaSEf3d
Hoa6svE/mlb9X17VsUv3l0HdKX0cykChDxeAbEgRtaPVXjptYClhyRcr4Qv2aqVX/5C6INs505vb
+M7KahuDWQrntGaB6WjEIVOJsFDocRbsVO8395H0kKFfEZ7WTHV5NQE/KBOKpnk5AC+Qp9odYFw+
RWE3ftKlMHw16dhcU6cnb9TN7mF9RTqGPGCorrOjQhhw+SFbs1OmMGSAa0wi50MRKPGxlyX5M8ou
5oc8gt/UtgrrzA87weOnHEwKhW1o8BDRWJcAw8hKw0YCnto6Vv2qMjT2M1NG448iMrvH4xbREQSz
YB4E5Lu60mrJqKpWYgy+Z3Yecl21eJVj1fz+cHRcWFnFkiZIQk1JAMHOZZ08B3IVGE+mU9bB6V/Y
IfgK0gsxPrs6fE4X9U1SsZpsMFpXY+ijdpMpnPZqLeLbrw45TzMYjoQejiBpWPpGWcqFPdLoOXco
sqZTqR9RuPutrIrHUUNCDY2gBWII2MiaqkdRZwVnwFAU5s5z2FQffXgqdhLsrdXAvgKhumBsItwv
V2OTBkTdzMiqJnOUIGb9aKKueMi6ePrr/vcR3rTeN/Izk0cXjyGMLS0V/QSdc4Nullb1nt8xbeRp
hawdESRpOy+FscQF4l6Ol/tmN0IWyBDBGIyXg1teHWXkXjpiSZSdYwjZXFtBKFBXsz0i9S0rjEwR
r8SQHa2s5eLS2UkyyQK9bsRZ7FWaOpwiKPV2YsO2Ffr+5DXgUNZUb2kHNkWr2uxsBwyfW1VXfBq0
IPl1f8c2oi/lFEqWJqEP9cvVWloTGlIwHVhx0v5Fgp7dOBoMB/8Mkq7wgrCyv0tGgL5biH6Ia1ex
snNZb/gkhW30S4GAgbNdR1+pnhVe5ADa55lZg6xjBi7R+vF5qrrh8R1dmFq9VQrDibU4ZACU2T/r
YNfWL40b/F8ZAaMElSyIzbXno7Vepi3donOkphVY9uZXLwfm4687ggRlKZBK8AutE4BSadRsCLgz
czkEqDRwWyhk+cf7vrH1aWDFg8iIppG4ppZ+rmVaZgcx+9WkQV64sONJXm+k7UtUS8P3+7Y2vJ3L
V8ydc6gY2ls9UyKt0htkNcX0REVf0RHjZXJQPp7ScEtbYPIoJpqgNZYrqqSpLgFj4GxDbFuuolfp
OZnk+T/3F7NxqAD+8foGAsjwznosVm51OHyinlw3bqdP8xSaXeXWycDAql6YdeNmcgi5vdM1VXVM
wrB77jt/iMado7W1p0RCuh5QNIIsX19eTTmHiOVm53kM/jPFkfJqK1G2877cWisdU8IgE5ug5VZb
mjUy+EaNi8vpNFjtx972Aqv/YRjt51DVXrS4/9C3ausmyryDUt5yT24yDhrrA3WzyjUGhqh7Jcs4
zqVhHXiOycegLcCAV8keSczmIt8A3/RcwEWvFsmA/1wqJvNYvtH+VaXjoWis+mQ5/s//4+xMd+Q2
lm39RAQ4D39ZY1fLGixZtvSHsLbl5MzkPDz9+bLPubgqVqGI2oAgGxCk6ExmRsaw1orFW45aMn2w
eutbYecbt0ItYfWMvvUkaBiQ31KKvj6vXR+JOssgnUVlWxco0Yrlm1Wb7We/0Rrvc8wwDfeYQNJp
DhQT5mXjcbi7wzyjoKCpt4AyujaPGIiWxFlQnJQAUgj0Uht2upEPaP0nw5bm3Z0sXk1wh7FIb4vg
ZOVtEpshHZ5FLGwkurN3marTwDkarFDYpPZe5jhb1el790NdD1U4INVewzXmyDaXfOToTpWSa5g1
Z9gXkW5tjR2/a4dkDakX+ktw0a63EQpar82aX5wGIyg/F0xx2vlgFZ+v0XpgwMiAyLJR41lZsXtp
sRzAvlUCfU9zpHwn0sk4PHZt99ai7hzBMO810er1WuyljZER5UhUmp7t80SKk29n3u+Prdw7eL9a
UT/FL9XLzG1psw9WcQraIP2nkohPBIEQ3/No1J/Pi9TcHfXkE2sZa5SJU2i9pI7Lx+nbYD+ixrRf
AOw+n694wFJNzjXZ7A2LW4/8vCodto2ObvaPK4soRJPZ+vl42+5dIToZMP35RTVu9XGoesQLj2tx
AjjzHYLl7waigLu80YYwnbaQEHdCfJakVPJUUHWj2gEjQPdz9CxOzHV4H/sy+k0r3PmTkmT+DFMA
kIe1Nez+3rGg7oH2iRpBTIh1fSyYSMXQUI+KKR2teoeMkINukrHsFOI4fLyV91ZHRQI0HPqbRFir
eCQ2sqEWmsnjwhyaz4nRlHnYmY44tNES/dkxFfGAmsjW7VotkPySvrqKxqmkIna7nuDilbExRb40
LhmTtPYp0PqdaBJv1wfZk0yIN1MKhEe6qUoP6yJZUxSLvhSJcbEmQpF5yIsjcKTs8HgbV+4CK0qv
DmnRtzUxK/f6izmmnMkcLP0yUIQ5NMKIw07OW+CLu1boDJM9486R7bq2EieGLjPh6xcvi/rjXDsL
JYFmq+p2K76ttorDTppEmeqGeDgvC6h8AMWXxWvEdER/zE7+nfLCLF/LyeysEzymyv7YaYiV7JoG
D3wctGRoDoCk4vFDrvd1fJal7P2zyBzmZsZOFGtaqBd16+yEWeT+V2Mus+KgU6ThLwwlnY20jena
wHALtnrc97aNoVhMyYM7R510FV2kk9k0SHfOjERIp69mHwyvan7yVkZ0e6iVYBFoYFDKPOvOKsUU
iIjm3dzPFy/SyqNeBmqsR+bvLFE/GRKq40bij7AkohEWoa/6UX55N/gsUQJ0D+E7u2LWrxznT3Eh
jdCqm/bj0ydbwf/h1vIOosm02jxbmolXtOl80RHp3M1zbYYe5N79Yyt39k4RUeCEAjpTha7rBSX5
LIZ2mKdLVzX1eW6a6Esii3gHN3ur3HtrikiP/VPMNVhF60TcsbWgr9KovuAazPd5rhvf02CyXmn2
aBuhyj1TJPvQh0DJ3hG0nJMp8CarubRePZ/p3VS7bnDIYaX/6fH+rdw4BwJVCPqB2EJrDH7D9f5R
KI/NtG/qi2ky+i7MRKG5odYMWh0yJbJCGG4y4upITJVuYSzuLBJ8oKEAYTaQy/ULUnWV7/Rc+Utd
zcYL8yO7Q4uCxLFIGNfxeJWrd1+tktIWnHZkO+nDrkNnAXTDjqXbXJpSK86tlwfnzijLHXJ/w27o
9S0tjFvHAbkXPUbK5tQHbkpTKPE7Y1/ZxSUeg+KF2bz2QWjDl8eLut0/jPDNmP0CAAeVxOtPN2ZF
YdflUlzKWY+/BWL09jOTxF/YjPHwvCk4uyDssUZhZXWXmU+b6GjfFhezQ/AuzmsnzJtI7Msqjv8L
U4QVPh/JY3HrpDWzmkkfo7G49K7z01oa8yxqV+yF7OzT40XdHgr02qikoNJCqxI3db1/wWxWOejl
+jLSQ/oB07WsLhT8+xlGVJvGFxiSxhZF755NDrxSVngLplcBGoMJbZlSgb2IJe6/UIdp92lhJUeB
ltZ3sNvB0+4RHhYPF0VtKpg3MvrCqXR90Up5mQI718LClN4S2rVeZyjj6vLfp3eUig6ADn45OMiV
MxmmkTYOwxsuqDCTE9tmDnzE+BpN2su0TPL42Nqd86/QG3gvFnY7p9BNRltaS19dyIXq8ij70mgO
FBcbcWZMZreFTrxzp1WZmVvNqQGzsnql/b5dApknzP7y8+mLLmoLKmNTfn68qDsHhIFFMLDf0G43
crEjIoWp6KKeaTRVcDTcJCYIks6pY8bsSwZa8elXmn72W+uGsh+6PWqTfwkI7DJBvbsXw4XhT34o
LGe+OFK0G+/Znb2jCwuBjvgQ/7FGxXpjiX7IhGLslA7MKSyC9iVFXWSj6Hv7lqE7xL+Og1Jx1HpG
Wgr61Uy0bLhoTBn9qi/zsLeXzD11kVftoX60v2mzZWyU926WxpmwEZthG3EhNwp/pZ6kELJZ2tgY
1ufEtOKPTe19e3wq7hl5y+moXLCP63K2mP2kK9H/vMCa9s9zmha7Movl/nkrFC6Id8nniBJXBabC
tOZAIza/+FmV77vCHkI7WLYkzm+urbpEJuVWKMT8Zy0D1MWj11e+MTBRafY+gDKkaOjV6YexLMTz
3wY1AyIc5OrV67863Gms9XWRNeNFG7XWvOhB0U37mC7ok40T5X7Id5Df5/sjln3L6NNGvnw5Xsjy
7M+eNtShBSb3j6e/D+00WHXYId5dF7CYOA0hpuGoOZOYOwYK9P1L57pOspHa35w2hciDMo90DOA4
CiXXPqFHZKDjKZkuCWd7T/I4vSti2TzrvrGCl3ubMktZ0189hbpRBENnNfrFmPNkt4xtHFZDkB9k
V23Rlm6OnDLFJSVoR0SVC3S9oFRY/TwbuX5x58ZEw9mPBoJcPhABb4xI9uHxd1oVw+lqINzLuBB+
J7xFT+ba3IRQh+ckrIwplOlRb3vt+zD29peuSOJjTFDyCXbctLes6GcT2cHLY+t3Fkt8ocDtxGok
k+rr/uLR0c0uJ+aG6ZckNuxXt/ICYAZlskuspN54PG4cLgtFOInLRT0agPbKYaSuk/Ye0KiLjnL7
bi77D6NvH6DbjQfPK94tRaU966JAAZLnqbCX+ioR2PXiEqsqrBntmQsM06kO0bb7jy+4GBs34HYP
Vb2b3EuRs+yb90qfrRTdgki/aJZkEuTgcbMrfTgY0ms3Hq07plBGVvxkDFEHWsVMqQz6DAy4cdHL
Mvo5dtN4KKVX7SzZ68/1gziXEHCIXwx8PPiGtX8PSvQoCr+JLtFUJTUaGJNz0BvAr5EIEC55fAxv
nYgyxvVWU1BuKSNAv3D/QRqRmGvJv25pFRfLrJ8E7bAk3nvuNO01Kqww2q/PQ5NHk40SjnfJkrE8
9NLMwiWC6v14LbfnHCAtEGVkFBWWbc118JkKGkeo3l60OqmOWSKyLnTHzD9A1k9eon6cdhQMtqhE
tztIZodUHrGMCqfX2KdSiC7j2fEulrRGWrE6Eqe23NLZvQk4FfVXxeywfwGFrPl6g20wzzYyrYsF
TuPgWnX8KY2ZbSGQOn/nC6t69k0mwkATQg05gRzIc3b9xWIKGiVRQftqwTt+zeakgrMa5X8+/mI3
t4r3UbGZ6YLwxoCmvLYSReWogcnDSiai791sl2FQNOO7qV+ek2rkPuH6mCBHjkXQBLFyVVuloRvp
o2H0R+lPBWYA1ljhZKA789SD+b+GCKHfUFBqZrpa8y+OHfIf2cEyDscmMMqjmAZmNQ118o725ha8
+3r7/p8pshBGSahpyqs1QWCLIbfNw3HsrMNkWe2HyuiG3/tlS5Pk+oz/ryFeSBTb6cpAk1p5P9EC
LstanzV1VPHHIO3CYmZYwOPToN73/98l/j8rHqJGBM/kpsFqOTGNP5q0WGk7W7yKyXZoSVvtDjVT
d5czFuqTW2nTa6f3G9mcOmYrw+TDPFQcD+iA62NY02lMzYk5SQKdm5PTDTGBYSf1k+5OzT5Na/3M
TEfjCFw12Lu5vdXyvPMdVQDMmYGKi9TEKpKrgQHCEsd+V2plqI9ZtmuTcr4UpUxfHu/xG2HiZq2O
6pZw5aBWrIIsqdmNleRyPM5lYx6jyAxOWtkMJ8sW7d4VwRJC2ZpfFSNBQdu8Q2IU2n5Ghzl0jKk6
90XSHssl8748/sHuHDGGD1BgVHOIVF54fW3irGF89ZCyB11pHBbhV+EwlFuiF2/XfL18HBpvGph3
vM7KjBFnbuaX/Xi0G6a1lYzlem/rcQWov4322Whlochb9zQ5bbfTWvAIIjDTQ+o13e+P13vt0N8O
u8JJUtFSmjgwuq7XizJF1yLDNB69KHbDPPC115pJ9sxQjLrjILV543LdO2MwaHCBtBPQBF19d9Fo
czZSsD66ScokOUEjrjcqSUuu3GI53ppSMhUEf5TgfVjzq3vcLguEIMNiac64fLDyLPijqPLskAZm
uyUedt8WjUZwQVTG10hJx6jmNJ788ZjaNblWq3ljyJQsMANetyUGYKhc5/rwsLA3ajSwddXNuP5m
Y9frhsiZ5O62SyRf86ER/ftZb43xGMdeZ/05Z777UV8ipcg6MgrWKQ2n3gktWBisEguTlMnMKuKU
p6I4dZjQXiAwAHACUesGdWYzsUtaszceIyfPPvk50JY4CManCBb/ZwXmnAK3KIGe1XfNbYbuAPAe
j0tZ9BfLLc1Q6sFz+p7/Z4UigHoF0C9bzyHJPDG4DDyejssc/Fvafb4L7CndCBXfJq2uPqUFPBkC
M3O6ODur69fwpkjNqOdjMKY9qu8yiusdIkJLF05WG2g7T7Yu8wXa0ZcHW48yBLOlJZoTMiV1+2rM
6CTtez3O7I/EovW8ywClNy+tSwk+nMErbNWW7hx06GIKlG6ikHcDsR+WxYwbaU3HYvL/nBekSux4
/MZYzXHDUdw6YlCSlIV5CJlq46/7FdbIHCfbjyZCl0oL0U1Uam3TlpVb90ddieNKTRiMB3nO6ioZ
9eS2WTMfR3VPmoURjHrxaoloCZ3O2lDtuk4M3o4U4R/jMxUFiVGka99XTATkjHg/FloOd7H3zTJs
fWs5OM6cvmbAIY5ZOyTfHnv4t7z6+oyRV5GPIA5K6wL0+PUahzTIQNDWzhHibPRvFMNsPdl2OqRh
FdRG8I3HZ/yaQAD3XquEkS5h6g2ZcQxaIwkOiSvsf7TAnO1dn8/lvGsZtRu9TxvPTw+6ZrfdwWgX
V4SGwh3/9HtzeUeDKf/aLXXWXewqFc25cMoxOtR64b+aBfyMUDZQ6k9JZLpflzTS2nAax9j8UEi5
tLT3F6Y4AwZ25JlZJS4Yr0iO7qWf5CyMgzVlxU/dHsYIUVwLuHVYOcncbNzM2+PnI3NOqeKtoUpA
db1pqbkMbrQYFlPVl/IcMy4SyZzmufG36kSQCKANq5Sv3oRpr63EdpZOnjl7R6PQs/fV0BmXSpdb
06tvA1pFxYFuQdePqUO2WusvqUBXN0budZ53rDRZfLSLSTuOmpjfx1A89k0zxN8ipqzv7WHoN5KQ
O5Y92JI6NYS3vEq9ZL9YrtLcq/zB9Y+2MZxdhPHCWVo/nJYR2ln5fopciYzNkxVJiB86bXAaggpF
pTiFqwNvwJ1lQETjHMe8MfcLmjLHpDa2lP7WnhArar4FJS1VvwMCfb02gesS9Dmdo9FQDtFE4v/o
+iKgIe08JynztiAbH4Um4dtva2nfWTZVOlB/OeqZ7HdWPg1/zam/fH/sKNa+kAVR7KHErjgfAOfW
C+qBiCKS4hxh/zjurl+W5gusvAxWdzsFf/uO1J9DoL0tDKIEdR+khlT5c/WlxhzmDprgLgHDMoZ9
gujJiJthqMC8BZ2687nQ3YdATmuTAG0tCzG4ZWN4M6YGz1IisuawS3WlHg+Pdv/8Rqqjh5wrmrik
xNcnA1Qx6J2lc4/xNOU7X2TmdyHbOuzcKfrIcAZv46m88+HogeNBFICUqoz6819u2VLmDiNXwEJk
9ih2orapNxnZfIqGpt1bZIv/hT0CL5rShNUUIVf2zHEy8gjo2LFOE+8dVpDJLRbkV7x+PhQMf/ny
eD/vfDrScfDaaKIQ7b7Fw7+sz05dQnZlj7y1/LOq8/4FKv78rfHl1gSum7yUS+BRPFNcK6a2wp24
3ktjbJKhq/Po6E1D8xfTviJ0tHOvL7q/el/m/u+d7TdOiEJ0ZZ5jo52MUFZzML44hphfK56MYSf1
PNb3iJDZjaqbNtX58X6s3ybqYGSonCEaYwx5M1f+3KZwJGtb844JEzH2dj93sHLbn88boT1lcFk4
x5RBrjdCjRkJPNHiupkDs88rVwtnt9uqtah/5dfYRC2FNiwnCXgZwtgrK7OQeQptOTjmCDy/jHmr
7bK41w+T0w8f5yoSLzY6ZAevN8VnbzDaw7OL5E2kNkU7gmcY2sP1IrNUyiHvU8HANXLQTIkUuTL7
8djInTPF6VQvL80P/M/6/ZVL7lfMORCnBNw6sQ5D4gUq/oDW902/BH8bUaPbp2HsAuP3yF70KCUd
drp5n/p62Yai8jXqEWMadO+m2ux/er01bk3WuD1TSj0SpwUOExDy2mdBTIjS3hbxqZ1G92SlhXPq
m0I+mbpxZhQHn2GY/EfRg6/3m5EnqAoveXyKu6TeMYAzphQeb434vLsWprqouScQCtdtHxr4szdX
VXxCNdUK3SktdyN1ww0veM+KGn1Ii4neBKnv9VoKBhBLJHJiOLORyW+1v5usrtzowtxYoVYCJhxl
ckA5/L/681983zAFkbCrBitGkBxa8L+7FH3KZ9fCv/zGcyCYAXqx7vX4iHLLNNVi5E3c6IIguPa9
7ubq78cX4c0xXd32NzO0yqi0k3Wt1UbQN3envo2YnjIU7r+oeTrLH6YXSyck4BAf6yjIm4vGzFz9
XSpt/6c+Z607EokAUg/zLhmTfTeBpPwxVLVvHkVgZJ9lartM+Si84TchpqW7WHE5puHiLE58GsBg
o9ArU9GGulUmRqjrov/U+r0wNzoVN48Ua0PMEJg5RAG6+qujrSqTbkTKxNpqIyxtu3rNynS5aFW2
Re25Z4qWOzQK9BgADa68lp6lKD8xrpxJQm5CatwxRoA2SpgyRmPjYKxTViVGw9Qz9fSiiUqd8Pr4
lannwuVhgNtQF+cuJs9zBucH7vj3uXQ/9paz4SvvLO2t9oqMC81i3phre1odA1q12xQusFuHy9gt
v7U5YxVV2/b4+DTeuVkEnAr4Q+xJFLoylQYibtKsTk8yM5ngrDfj3smsLSXru1YQA0dQmVYWyf/1
ghrbJiM2u/SkGZm9Q2Sq3HtGG20cvrtWyHcoYyjizbrZY03dPGgp5amE7O8wjsa4S12xRaFeZ3NK
a5KtIhIjY6UstvJ4zoTmQZIY6WnwcEO1XdqvTV4YjF63tbYLTacdfs6Gk7/YZdF8e/5rYZfKE7Ua
OIOrmLNS/FyvwTbZT70PRnPeo7HpPoU8U5IBhFM0QFSBhl7WWrulqseq1jUvPVVZ7OyreABqsrRb
Ik/3vhYNR4p+KvmnjnZ9JvLcEstQ6OkpKxx95y0enIVFD56NbYhiaSNBBKFYTJC1Cq2ypu8GI86z
k4nyyDkoejLwdotRqbZ95dFx5PCHABXDxVsbGRPbmocF2m9X99G+XqjGdLC/GNkcDcnRk43xz+Nz
cOsgqMq4Cp3KmpB7WrlZrxgiCCEUj5y4Gz4s/Wztkcys/3GzfMMV3SyNIIiCCXRGWo0gttRX/OXl
HYVrj3rDgBsGcbX6qw09KQ1LEU/u2TbpF7+bygGeyePl3TNKA4H4iJYMAgKr5Ylel4Ef45T8Wkz7
WR/Hk9+17qe66xy2lq/wn8cGb/aTVYJGJFgCqq1S1utVWlWOmETcp6jSmDI4RLEH8qiKPf/U2aW1
Ba26tzziX84jbxcOZLU8AlmRePqMNRnPoWkM3R8o/Pg/cNHWb5Hm1sX+8fLuGlSdYpwvse26V9C5
sFeEjdso0If+TYsM4xMjUOO/kVMxvxuiKDYC3Hv2oEWQhdM0gD+6unQdFeRsAQ90Kuc5rXfupA3W
nhkf6bkYvejTVI/5y+MV3n5ASkNqULoK2yAerUpsgikFmjHASo/Kha5wRDsx85PkgzbP1fGxqdvF
YQrKpVLrolS+boy3AhpXPiEE5fGhoGDo8qvjJbQtskFE5Zl5K/LZMiy0CET3YAQp3Dasj/XqqDwl
doFmQtTPgtoJI1irst34aHe2UJEVGHDM88m61J//ctMzvzGnhD7SaTJIqENNRsnHgcfuy2KL5d/H
e3jj+1kQGB34RzhNOJcrrwIpqM7nRDGwZWvvmgznvW/qQCs3Dv6bVuyVZ1aGgL0xggQMKA2U60Uh
9MQkEm1AWTvI08+jm7TtLlr8ZDoTDnvvxnkMsrBCPLS9lH7Sive4OvGH9BJkYIGO1h96N7P6H4Ob
Up+NcuEwckaHyhRWueNEH2RawtPK42b6CirHqXbJOInlAiVvsS5MjLHcMBFD4xz62jC+V37fx2VI
AWAKZOjZY/VsJV0dFEg/SkFGEXbX3zAol2XOW0jh2kTXbMgi4zc0I5Y/Hn+9mwhoZUXdkF9OClAn
0ywzSLqeDNI9UZC/q4rePA6MTzr4aZezr7H8UtZMEntsWTmO9efEUYMagiWnygjXliVQilbkCv1c
asnZ6urpEJl9vTMm6f7ut8Z8rg2RfPGFSR40GBzj/8I+hDkCQFTSQOCu7Nti1GoDJaqyjQtEiYv0
e6xl066QWv5etmbM9EN7/q3ThuBrwrP/bBpMUR9eDQ8HU1koTa8ejh4EibuUSlsgyvwX1xqWD8xO
mDcWuaKkEv9hBpYIxS1IDiDbV6tsg5wGXE504XuB7F70JUdBOEnm1nqh0Srn0M1MbfhP3FuaCPXK
W4oXstLauEizdfWwMkYfhqnmxnInnExLd5ltTgX6iRBhw9bzJqnoUHqyG3M7TcI2KGf3xdH6Mn1l
QlSzJR9269jUK8u7road0E5Vx/mX48oO+WUByoZK8FCFc557u1zrv/iWtiWeqzbm+niqYrfyZzgc
ZEtWYQRiLI3tIz1/GuzFMdC2mbV3VWmXp1pGMrR6xllsfKt7a4NwTRWBGjvo6ZUjNbLRX6YIRzpX
Ij8safIlaLRgF5jxFt7i1mUT4vLCUnuGDo2c2PUuTlCmepK36oRQe3UYRls/6nLYwirfuhaKSMRG
b9okXLTVDpqL9Jc+tuSpC6JvvPTDzh4Yx0rbcNcCkdqZlfZxru2N6OHOd1NH3aNmweOKDMX12rJW
SDnmzF9Y7Dk52SlTgpt6qHb2UojDsFjy62M3cmcvr+yt3FiBeA/g4ZFxel6rvyzWYIQDee3usZU7
Z4PZPsRE0BEIotensfcJgNJxRhq+roNk3za5N4cdgml7L029Dc98Zwvp4OKUUDWHjLWeTljFZdVZ
BQOyECYBtTaN/06W+JqU5c+li348Xtid7cP507zCFUL3W8fPU8qsmKwkyiql3uxEpTG9xQ62Yodb
KxDlqI0oGBz6Kus8v4SI76fg8xGA9dqwnYpOCyN3qJ6FC7FfRIxozSrYFNHKyj2hQZ/5nsTOYLZG
WLuLcXZFbu0f79ntYaAi8gbsVbNo0Lm4PuJtHLmdXy4dCmKzKXbRxLN5GBwztU/uUvhbZIDb40Dj
V1WvOHu0q9aIkq5nOFprT/3Ji+EohX7jt+WZmCFP3keyzqqPsjWa5xi36t1SzX1aYKzTVVJc12vU
1BDO1tBnqsRuiRRbou3yxTKoffdbb+TtdipsFyrLOAtVgFxlOPTPpF4bmn6KumHcxVGS7GXhty8d
hKwNfcWbc0gwR8WbPpMaZ3vDNs847OVEVfwkmnraI31cHxVmcuMhWUmLs3n886QzICTUvD70kq43
jxl2fbb49XJi6nDzJ5MKbB2ZYJG0uzgbhX3oS7v5S6kbMewtSptxflcZKCGfrQz86paE6e2aaYwQ
35D00LigrXv9w9hFPWpWL2z0v5Zyh3C2fhp9a6tD/Ub+unqvwUeoXIcziswYAx6vzXgzQygR+nZP
Q+Fky6HtPNG8TxkqU+7pUWl+mLhx3oX9mE7aK3jQwCacl0b2rqXotpDxTUZv/KEnTenqp2X26gFu
SDdrf3a9Dl3ep2hrfy5dQAqHeklGJDhlBUEmr8HXI/fZTiQDleiWfeaZtfk9SBbvawNaNE/Cps+l
t4sXo5hfKaCX752iLLuvhZ9CEB7cUcpQlm7rHaSUtXGudZCMr72eGtlhGKTbvy8CCbK+roZUIPFl
Z8N+qWNT/lMVbffVylu7DQfhxM2pTltjQIRRgzEupQEmYBfQCLzMCVrve0H5roSZZEv/7HtzlH9a
RNy5hPnR7B4io4m6P3qGoXl7Mqlk/K0FeRAcIdSgcLs4XtccypIBCfvJG7WFUs40j+fBNvviHOWx
+YcVLIvOreli53tteNq/TA7M7b8KXYri78iKcv1d7jdpfmiivoz+eewTb0+Z4rYRzRNogAtbo68n
aUxtShvw1Aat3LudIXZBPsrzYyuqjrk+ZExv4CQrWUVC9OtD1vR1FOMp3NM8xvJnUrjlu7RBCbuP
Zf5uQdn2kJV1enhs9MY/cbKJo+guMjUdJZGVu0+DeNZkZdPD7P3oPLqVcSogqO6YVVxueI67u0h4
TegEo+2mWhzb9gBDgEuEDs/wrgTadrEGXf8vFqTacsBWwOcgKXK9i7PM4zrJIvcUDEIJbLj5oQCp
fyzbefj98d7dW5CiDsEGZPwAyMtrU1PGiANZ+u7JS9v8fW2N8hI5gXzWrSOBSfCCpppOcRVFqGsr
td7kzAwZtdOQ5ybUCi3aA/V7TvsJr07RD4q1mpBK3nxTF4v9BRbHaHinzq+8P2lpRvukdoLjZNfR
RgR4c+QwxTFAyojIjP7E6gHRh5aHMqh83qkx+mFGxZzulslILlmHhMPGobs1BqeMpdGop+QHNvl6
93y5FMM0a8GphC5yGlzN/09hatUu7iprK5a5OQ8gIyjjqWo7BT9y3mtbjSs0t03cQMmsSRDJLZWk
qg62UND3zQBd4jWCTb7mREnpp4BPrYDxOeiUFi7av62ItnTJ724c7hdMpyIZrnnKiRbgj40oOI12
p4MIUDpd6dD1e5nVzZbe2Z0l4Vepk3K8gTusbxLMpESnsM2S4lqGoIz7XWVmW8/4XSsAHWgYIJl/
0wiOrQxFoEpEp6Gyo2wvqlL8h9rs0j2bT9EFoQuswIf0tm/Cy3xy634uUvcUpYkdpiYcldLuuvOk
Z/YGRvr2K6kSF/Ar6i+cO3t1vHVCKjsipzkxZHg8EGfPOyOJ3F2g983GTbrdPZdNQ/YZCBAE9bUp
aLpIQYk2QPa/C0J9sIOdMDbBeeqOXD2ChHOwngGxK/0YMHPXd6j2/B6FhzI6+a0vor/StvL1D9K2
hA70lZ5SmCwDc8qB7Wf/xJrqoi2eyRC4x579dlsJbGEn4xAVsnMtT+fMlWYZ6RSc9Al3K5Pe3kWg
TXd9usnUv7etBO5A0wAMqGGj1wsumeiRaWTnJwMx2+4Qj5levExWZW09v3fWhDQZhsi9YYiuM62o
cUTj6VV0cvqi3eU+1aZCFvQD3XnaP719+HbyBJqp1JjXiiQtjt3ubV07mdWCblhtfht1AJ0FmKzn
LanSI+m9am7ejJ/O8qxxQPcx77rPu6MRSO9QZ6V3HFPt6aQRtwRfmBuNPcYvq/39pTo4RENd9oYp
zpndfst8cL5TO2sH9bc2Hsg7R4IJG3Tf0J0itFinp7FWAvtOZnEWdtPuGN3V7+xgFIfHH+km8+Yn
I3gBR0jQCThy9QynE1OZxGiIs6yqowYQLwxi95+qG0hayufUT1R4QROae8T2wUXlYFxvnmOValRT
H5/jqPdDcLdU4fsp2Ch7v53ha++hWsFAcBDWVcKCq2+kmTGjL6tGO9maZRdjOARTkn2YdbcaPi6m
HWlhnzaDmhK4pHXIsGn997QJ+jLMWp/SNQCaMj9VsSvlTu+iTv7d56VnAJ+N/WgjeLy5jjwQRCSE
3QoNh7bN9Y4Yo0A5SojijKDYn7JMyaDK4ltZuM/pcLP1bDw+lfoDzFFqO6vvHFUD/K9MlueJ4a17
r2rdQ9BZ1cZFvDlNygqMetpJnFxantfLaWbU0ysH7oc1ms20Q9qh6sJliPWOOXfLkF8WfsgtFdHb
PSQE4qUFEM/bdCMx3rsypz2R+GRM6ATt3GCkZmlE7rQcE7sTW6IqNzRUGmZ4NR3ZOQA9lI9WpziY
jCAu3cWDD1QsvyXFJC5NZBT/6jMCoweIdkkfBt0QlOe0KmPvHARJNe4sTYvbIxLz1Rb8+uax5HEi
ZcPzEQYi3LEKOIso8Wm/+Kw/if7u5uVkltrFEeKbmDJk8t0/rdp7V1hbXebbEhB28RkE8TBxVGv7
+mP7rVUGlRAB+yANIzREaYV+Evm7vtWNc9HHwasRtMlrXpnTJ6PXzL8iu3C+PPZfN+my+iFob4FF
A4YEHPP6h4irgdGOgjfab2WiH6mL+M0hKArLORd5RBjpx1X7MYsLuFCPLd/4Zyx7FIIsHJrSglnd
qAUuISykOThlRi2L0JHeTM93cYb/xg7OkoQZsQp0WdYrdCvkI7sAbnvj/RDZ0n/SrbbYCCHvrYaY
gJIhcR190ZXPpD+aGC1n61RJz3tHI756oa4075/fM4oMXB2iVLzeygqBau6bgtxoIWazDmOZGeO+
MqZxq/N66xPI9NRoKqZ5EEuuhyxMjqC5MBHkkzUnOzBy8jXw+nqf5vXWULF7O0eep5TXKNgQVV1/
HzvItD7Js4juTJP85cK5PDlZZR6f3znIPvBGcDrwhVc9p7JtohL1+ehkDdl8SKxUP/da6m7kLLf+
m237xcrqNknwPsxRJO4evaT8UC5OdZGxbR67RDN/o8/uHR6v6t7tVbrPxB2K2r4eZMd852CiGkSE
bbj9i7v4f2f1MO1Aq8Clny9pBU7mscU7X0spvijuwlsZZeW04ACgQ2EU0UnEc3vy9Sbdx1OwfHps
5c7xg22CIZfuAnW81ZnI6wg5mFRGJy1qxQn/F5zHItYPnA5nA3151xQNIYo1Skl7Lbw1diNhg9VH
ajrBH3M5UVn20oaYp8zPjxd1d+sccM0KuQjJZ3UEbS2js4E2+Glq9SbsTc066HbvPH/QkXhQ4SFE
GvzrKiLKG9edRVpqpyDva3cXuSJ6x+BcGEKPV3Nn35SqJUEinhUR4NVqeOLHMihjcQaCUXzQ0mJ8
TTUZoOjelt8fm7pzq2iSQP4imAdQsKaJMHB7YUO7+NyXpv7aRbP/Umpa+7ufu913x2uarVqhuqZX
AXAAFsNn+AvrUwX01SFveCeRJM3is5GbkwzH2vLjvdnENmR5V2v+QzQb+cdqdOLyDyvrvCZECKFt
/um9vikPdLb1Og1l1BYf4IJY48ce0Q+UwGAOOGHZMHNwV3peJ8LFl4P9Y3D76O9Im+LuwGM7UV9D
Ok/u29QUaaj/D2fnsRw3kq3hJ0IEvNkCqGIVnehESb1BSJSEhEsACY+nvx/6bppVDFVoFjMxJqKT
yEpz8j+/KVbX/0FCdrKpoA1d3CeTyQFjENndX6V9qb0FWBP4XGwEWu6NrhfBLi86HUV/irgG3eto
62ExTVoRWf3MXzBZUzdE6ZTmXyXm4TJeArKkr3yNlOcL59MHSx6uMRwahJabEGn7///z2lNQc4mF
tmACT6J+wgI13yPT+R9uxa00hyTEK5Gi+WQpDqNXw9Rb8GWvhbMDXSFlZQXq+PMq/PBb/jPKydmO
fMq1eLqKQ2Lk3+1hmOMGHCP+8yAf7Cr6+tgZQY8AYbC3rfCfCcNuUgnAfZZ6MU6bKL2hnVoZO0F6
84Xv+XAoRoKnw+MV5P39UEoai12VZXbAyL085A5vjLHJjautcffXQ9EDp9Lb/g307PRBKWG5lJlr
ZodcpNnOw/5ll8zBvLdWeM1/O4G0bWEebm2Lfz0u3n9Vifjb9Ut8WzGLtaK59ZxdkHrOY2/b2YUT
8HxBMBTvwo3HAn//TK2fkJxBmk9+EHQPQ27oNjSG4BKj/vxnYhQ0tuj2AU3ofr//oLbPR2llaE4T
mdExzIMhMpfsC0ZJl3Tz5yNtWAZWsZulFq32k0sXZWqBlaBeH1pvMvIINggOnkIa0xjrVaBfelGf
Dsfvs93vyG3o6lMAnuwnmtyFdMsguar8BecR3yzN4pClZWpymg5ivQAHnZZK23Do/3ji0jZBCXZy
pjuN2eqeAk3DEQJ2U5U1N8ZolXFXZ8OV8pGbdnqpX6hjTm+ufwfdcru2eYWsdrLHNLA6nFLx1eoW
Qzxr3tjtFkfZxwYBwx1V7iX/mO0j/ntxMd6/QpINJLL51JOTMMFcYUUIrtEczPCQarpf0jRey049
TH6Jo4XR7Kt8OhJsfuGR9cGPydtnAyk34t+Z3UfSQlVIyR4+kBdWBqQ2pNXTAmG7202r21w6ij+Y
1o33RDVvwNAk/uRkTwx2oozeSg9GOuVQFSQVfdb113VazPtpDJb5wgF2utW3eYX4xLqBF3LuGu56
QmhKMmDa+nMY+KrBm7zKLxz+H4/yrxUlUCIvifef5futrDBBTw/2ItLINnQV23r6t2oPvuVfWiuf
g2IAEOb9KIbFu86RIju4VeKg37OlulGiTm+F61QkhBHS9fezh+sW9Sgy5I37cfJz6YtDy93uGJGQ
yk+9UQx4YRqXTNQ+WIJbywP0H0U3EP3J7JVZMPsLHvUHrSzqnS5S537RTPPKHIpLoO8HZwkNSp6S
nJV0N04FipqCckukG/dZ27RPQkDWaDggd5ZQSRkunYOO2WmdC4qB883NL4fTAm3RrRA+3dxEwwVm
ra/5YfH1erzK+tEcb+zUMbL9hHN4dz25Q/nWJ9na7ApDDV489yhr//LWcyn1oQWA2cDkAQ09WT5T
prlGL6ri0DtZ/TwJf3kehr55+rtrnFG2eaXpTEYr3bKTg7PFCc7JDDs76G033KCtXSM8Ecz7LJHe
hYrhfNcxFD1GTAE3p47TGrVD+d/XppcdZjn/rGu9jWvgoas/f89Hg3Aggz5tCgyuvfebTnf6XFMp
34Odj3zQPA37MFdeyvo7PxdpKHIMbyfxJgc+2QIALK0Niorup3GyB71MvVcy5Iw0TIVBfImZrheW
5EcDAp7S4CazBHDtpGSwlVvM1rQUlAxOfmuWqXHdity+Jnmj30tvaY9/PY0cj9j4be4NGKucLIt0
gY+Yan15cBqp9uY0iKOZGdP3/2EUmh+bGI7332mbJddnw6psvqrxxybKCAgWoT6p4uuFYc6QcFY5
HUvoUJz1+tbbeb8qBnO27NYCTClmKdX96pRjsg+0rBlfGkOXvzRgM+2mb+v8OCfKDA4t370e8xXJ
Mq/tPrV2Wo/g5HbqbK99rIbFLFVIyYqvROa6yt2JIhXB1TZMsyM9dCopvMfgbWSdj5FJWHsbIg7y
2yuzU8qO9HElzaEu0lZ+1ZPetOMUQyr3OXEm7j1kHq0X9yvE5mNqmaO6NVaBxXUyrEI84e7lFj9S
mTR5mA62QdTwWGlmd2Naqyfw+kqgxOC74S9Xeedr/TOKHsOKnVZvsMZJ2l7/JzHTZdkpc1q6najI
0oaNhnNUVKD7eRwDI0NhbGoD5qvw2niY50lte4KG0zyYKIGb1FhCUaopO8jaa/1fedpYYzwLQxm3
WGGsTtQ17ijjqbJEd7cM7qJfFWVd6Y/CJ9UllsGsTzdC6gGRspyxXjzKGjubQHMq66VwgzoIXda3
HdEJSkU49cQ6DWGXE3pxv9lt6bcO8g3MWAJzKSJcjOQPDP2r4VMxNr4ZTrNeO1EvVfNr9mj0XBur
tlSPyvfxsKGJSHqN1hAtEwf5jPKyclG8xHMxr96u9/OMM9dOOnnXapU37DXN1cwD76ipel5S+kbH
RCVueVRr4UzxtJnjPM+Ij81biIglUWddURjfMPnzJvT7kLuWe0bBhU5HwqDeNHqO7nfMyxNKjzGV
coeFUCZDJyeDZrfgEC9EGMwc1inseWOY7n2HFt+uwclFPFDIp8QxKS5bAfPEcfMHo18sHUNKt8fM
plsWxNol/OA+njqj8+7yBYI8Qq20MWPglmJ6KJ06DX4hHE6Dx7ZtjOYxsMaxDLcUycIN10rrqkPh
arb31gm3b3ezb/Xqp9Kc2lrCpBIzwdaNZWj1c+/1AT+A3/TTfF33g9Vdl3m/GLcKOU99VWpBlu6S
ZsgTcSyoXM3XfzM/f06zlXv3bpfqFiFvhjl8nk3w6b3Sctx5RDkb09cFgmR/LOldZ+w1fZjz3Wb3
0hzx8J9FtGIVlJthnwo2UziKvKaZZqp6/g2MNplxS53UPdda4lt7egVSPGobMr6vOoieOwG7II/S
YLJ45k2Lke/ruR9fVWOoetcHg3Aj1syoQj0JOJWSteFXGbu6K/ZFO1jyH5jmLneLPXva0dTK/nF1
JQb4oV2ufjKFpt+Nwae17qT/JAfM/x70djLRGAdy0rM1VKvvAn4iraFoJ/3YuddH2r+H2hWT+Vo5
5bTEJhkIQYg55fZP6rFDiY2MSO7rmaCRbN/YvaOHvbd0/tVoZV5A0KydyOeGctMMu87K/mnqobeI
wxu63tpjNip+gBzIbLcaXZEcVmMdmt3YpPP0VXN6ke98vbQd2G1qsPuoEuNU7YzB7Dz8E6ai2Qu4
Vfkn22w1wotpN6ZtjImxm4dW6ffTj4lor/loVlgIRrYnFTiAHE1lxFmW1cZuSpCRYmpUVOp1HAKj
/O4vOjHO4yoCDBlhK3i/jEqRwhXOlT9lVzLrjWi0uqNjTvCS/Hbxd5bTtQ9WTpURyd5t07h23TGI
80KkXYT3bNc+5pXMbsABp2Jn4jY0Xlelm2e3yaLWLFw1r8ghhgVD/+iv6LzDqZKjhrItSf/ZgFyR
ha6a1BpxMSbd71zLk5fBUNl8vcohKQeoSv4oy9jLKmGTpemPPsm7dMyJ+y6WmRo/HMasr4qQsyzX
74ystJejYZfk6LiLmemfVdLMLICkKsc1dmWh4cYcIHIfZWjYhe4+MLPmeqwDdPDPOGM404+5Hdw+
lqMPtTrsO9EOIb570r1SQeVakRz6SaI3c1fLK1H4YIYbW3XW5bf5mswN/gON2o5vU7qI1qDnFg9Z
qTIReq0sf+ABN6YF2nfVqzjzetygV6fhb+vGqsFGsptb17hpE00Mx9UuXWax6ZTUc5Zt0vuhh3+k
f62vZm1cB0VVvwSQu8ZrYSydDLNgFddVO+vaIWdWnX0zD60bTjnDxIW0jK9dYBdDNBPVRDPaFkMW
r6Q5uHcFl652n6WsiDlsdXSfd76tHPO6bfsxvZIemeQ/8iLJ1/tlNseOG6s1VXeY88VvMF0fKXYf
EzdI1Cc0V+ZTUBeAR3K1+y8+RvdvCbbMaSi5mZKIEKfptkuH6is1hHhoxsGuQtXQgztome5+RVY4
vrZSznMESr/at6QWec413cMxC7N5Hn/n7er8SqaZktDOh7Y4yGVkDklc7XQAgsDBPOi+8Ox5eVXG
iEoJcl3q7/1qTdlFllhdj2lyk+GpdBYru/F7I1vasOU+rkjDaWb3DsbhWPwscSWwLSxjLVW9Gugn
Ksj8avFq4vqka44hO26trhrIndWT0IVPmHifrPbVgI+cuT602395Leu8wIFFKxt7EKxbivV9INVA
YjXmOW/STRwC8UZo9GHe5b12p7VW/2B0oPTXmpe16VYOOUWYt6k5UFlIqcfWOjg/tLnPMLXKs9x5
s4kMLCJiXETzpCVOU4aOC1/ybkhE1pmxQ6DMb2PKjRf2k5a8ylFV2W4xzCz/XfAAmyMJ3ftv+61U
ggHd8I0QCJSNFPR9JUgFoXMhLvJgcivGjaO5EZ0kSHOl5cYXyk7+Ue8xovdDndTQhpUZCwCgPFRM
3t0sSvmP7k+XkP/zJzIvcIyZof7xhgMnff9BWj3nzbyM1SFDbHOsnIGGiLE6T4sv29fM7fU4nwv7
Atx2/sqi97oJ9nlkbWKok/dPM+hq9HIpD8qYcxF35pBsJZ9+Sat2DjVg1ELPdcMTIcGeQg3tmOlm
VdviMBMX/89YpqrDDXr29XhZde1/eAojqMXgGj88KHonv5eJ7Npal0QcfGxINLaVlb7U1NRL1EC/
usS+Pvu0jZYKXdkFpsEx4JQ5KteGstdo6sPscRSmml/+YFda2GRW6/OfF+LZ45HVAXaHrhBflY0d
/X6JFA2W0+BO/WFIuCVtssijLJhesejHKtj6a40GvoVohJHSuuAnJOWeoFBuk6l5CkyG08o2EvPa
bZYq2M878GH//GVnkwh0wbIAXgMrxD/y5F2nL11OmoIDxaBYvB2vE/clmMrsul7K/tdfD0V5CEvP
ArbH1fRkyQcojrxhZag+YEUUg5+FQ1lkV3XeXLKt/uCrNswQijkONbTlT75Km+txEG1vHAw7IR/B
4DrPNtHT6GSXbLL80zPKortAbg7UpM3x81T9bBizl0oaAodhsQ11hEdsfpd65zWhmab5qyXM5FGk
fOiuXOus2v15Ts+OkW10mgRwAqCjYOzwfmFWRtpnlmD0lNfvnie4x5XkXqKdfTQKdGUgS8YgQ2eb
g/+0+niDNA5PRvOglzQDMOwcYh1XkAtH4ukmAw8FKcGHG9YoeMkpiZgjsdk0rv5hlIZ/rK12PZb2
8GtAlr+3B3lp6k7XCKKUrc3CYmQw7NtOPqrHQc2bZZUcoMHU+3r1l1i3lLoSgbjkEnc6fwwFRfXf
1rIFGnrqMJ7NA3yhBeiV2sCJShipx0EpcQHuPJ+/zcKAY35zDKaK2j74P79SgAlyoM2uf5iF+60X
xm1XuXXI0/Fxctf0wmBnn0T8+XbyclBxKvJf3g+WSfyWE3O1DjALminuF0UNWmdl/v3PC/zsV7Jp
+yKaZfp41J9VG4JvCRLXyI9qUZgU5nldRRvn4UWMwrlwyp+PBRTJ2cSWguYHcej9Nzn+ULlVY5dH
RPjWdcfFdY95hXYzQZy+MH3bvvxvZQNUvFGBOW/BWgAjT6DpwlymQgZaeWyJsTN2Y5GZ7o+sTUA0
VjPxHlSDLOCTOSZFfjuKunzS+2YcD387tzQ5ILOhKkJwBl/l/feuG78sNfDosLpG4GQvhlejhx0T
5o64FDZyvl6I3cL3iR+T3iIv7fdj8USDaC5SeWxWMkvnznVib87c/Z+/6MzVh3mlgIMDTDDERjI7
GSbhT3DNyqyO9cRDlURlTuZ4qfQxjwBa/Jc+IB7rCGRBYls9qXm59dG6rp+ScsltkId01Q/r4ruf
jUn0ODwUxHXEPeKuLE7MJCcYXXV++5po+aQjxUqLoIgD4RFhK73Ga3dOOy/1oZn1fsYdaWinF/wa
nfE2WMlF2tmqvpQ38f/I6/ulREtg6+rTLsbN9fQKMPuSh0jgp8fSlJQ+e95+k54fdafKNihqaf3x
i2M3w/rStetsf50bUxpZyP+SWfewHQondh0EtfdZCT3mDjWtmCMnmfmtiNxZjYdK5GVxGICJwLEC
EvZ2dU4CeDjB/JRvYwmxJ0IAoHefkDuL+VgLGrc7w8vbLBrNViQxAJPQXnqz8UlabZa62C2JpY27
modG7oZBqU+/BzondlyXZsUzu2h95zBORCBHdWoZE/YbQ5ffrXMps9u6aTEQq52A2sgvVktEzQIj
DrFs0aT3XopB5s4ZkkmFWalby41TIv3BZzyjU//J6zy/+iS6ynIf2GgtuYqpSqrImJYUPYDPy/9G
VLLVnhYnyOxrzlSvvrHzPK3C1bKW77zeG30nRk/O9wZJDv4RHgDkq9BQaLgPDgYU6nexzsAYQKI2
CRHSS1SUFEVR7QVa+TxeeZYZu1RuMUai9L3f7FG+esLmeDjqedUO+7VayiAiWCn5IcoSU0xLEAgU
Lr7mlOG0uISJZYM5+VddYhrfuRJkxWLPpDroqzM0MfudzPm2K3v9aaoX90WbxqV86MvE0XZZUtTf
URXqv7PeTJ+WXFcYEmLVCzKtbVmXTjFPHa40ffY5A0sNYs9126fcW+cHVWsDQk5n1m77pXemvSRF
VeABRHkXmuPSNpFXSZTlpZN6IqrMsQxui9Jz3vQKhHtHg6I0voDS2Mtt2gTJD8xF8yQ2ajvro6AI
xCowEfJWPypGp3uRboOhAeEXSkW6qoI2NoxpAtdFkpmNV+TBBPiq60JvXoQeLPIGk9mJfPN0qcar
qUXheiMS2/pnUvZa/nBT4VcHYLlGOzj2YpVPY8DFT6yMbmph13rBg3LX0Vqj0dCE8RlxtPlSVYud
70uMpGQa1pQNyT9+0/r5L9DY6nOeiXy40uticj4tKa3UWLcbWBtyzflJlhU3+yep8i6NKs0hwGrM
ZmPlZaTXeKFojUb71Sx7/04KWQz3da7p/1QrzKqDKWo/HyO8ML3hIZiV17xNgcxfbZKx0k/jLNvn
yV8M41niyqBo9BcLMFU+r+7RV22DwF/3pvLVCYrFiZcuMAiqBMP9PdOSHsPFHIhZTHHf08NA1/T5
tra7qr0tvDF7wf5IzyB+sPJDK18S92WeqqD/nZkJvOp5KXURqjGRr5OdNf192o+Gu3f1Qdev/LZw
neu6hY99C/VW2o95nag7y24crEld9Pp3dSK6LDY61JmASS3YnUUHYn1o0AUXLzQH2I0lyLQRsryE
R6XEk+zOSf3mE8kBNEYcnDVUJKzECEIDj+xqV2oFTgcE+mGbBpRdH6eUqOKdmYDk7jwdVWuU2bKy
wt7S8zYGfwfhF17mv+masxY3gHrC2S8UnyLqq8B8xKWsdOJVVH2JUYjZk03g+z1g1JR2KrKmjUcJ
ZON/mu2S7ofrLe5I8OLSoI0YrHqMMrOjt2QPWjeGTl+BMTWpq6zYhxRPaJHnF/lxMtvK3yRI2Ei2
rtsfPD/JyigTGrk3Q5E5eB15Zi4iRcvkpzmRUhIqDBVomYPW5ZGTp+tzRm0ndpal9E+pQSNwZxlZ
e4+0n9kdi14dSTBr39wOru3OtjL7Af+EusB1f63KaJn19a1dBY16B3+lo2lhlLgTfeADPVEYhNpC
pszOy5tmh3X/+iUd0tK8sRYzsa488O5fhaYqjHbGenQ4i63EjTUxe19meP5ttHAtGWFZF/0dz6Dq
29CYpFIJMx+BcM320aCV9pM8gfVHL0fx1ezpDUQqEK0VdV7vMnNGUVbxZHI9ANJ4gKuZ7rwVKku/
5YU/BVHfI9Un08kcp1Bb0SnHtK59cTNxn//i8LSaEFbXZIS1PRt039B1DnE26s0XZ1j9gDihdUUv
I8UX39OSKs5mPGl2+eDnsF9H4umxIKtoTwu7fbTbKvg+Wao2o9lpqpuObuOKCka011lgDkY8lwQj
kD5irl1oBMmU7YJcmT+w9iLlApCA+RSBlhphkQfBEjoK0BTCLkSTq4nuQMKD0bOmnakyP4goUVYY
LqY7NnGJhOImIdHkrZrWEZgqy8eQWUXdtZDv/LPM9Mo+Fq4xFFHv1rB1a54Yn5wCgcHOKpFiRlnm
+T89szE/e/aia2HKEqYJZ4J1DWvVKTht48gB3GYafNsgcZw4S6axC3sSxsl15vD+Jxk8zwJy1otf
QT+Z35KJWKZd2fXDl3FUNGDHxgs+l+niPXtyKAlnHtfyNlkHyIB+Owwqwm6AEkp0NV0hDRbTN3Lg
TP7jhIF7vHZEr8Vtasx3CKr7Mh4oTw9aHTAzKDy5f31P8TfiNiOzeEgdLgwgrM7gPqtnP2SF6I+t
7TY/u5S7G3ZQblZRIrl8dq2vLY/8ctOXvpOOFhq5ap5NEpjaUHlguKFSqXWXp7M374K2y2WsQ9oa
whruOHFUaDG/1CQvjmE+oUHejlZaujRdWg6GMW/KHUxSca+mHlPaVSjxpNt5L654NzhHk8vdQqTt
tU7YTYkr9m41yOeyUR6+7EtJ52A0yffFf67noJlz8LInVVXVDsJMUsalL53n1qOjGFJ8WmU0T4vz
lHXahFU25uP+ftXs2sNRuLS+ais7hE8fmizyO71+LRe3x3oRZ9ef9VL7KkKUP9L8SFZEOcZAB/dG
dUv1XeOl47BZjIB9m/iZvlu8zmKGtXn5blW6kYTCretkB0e60K9oY2IXMs8mPb0iE6oIydvjWm4b
uxqwrnHXIjJa2VzTZViKUE2lwK1nBMGNMGnsnjDPX2huQ1e/w9J8KAC2ndYPyWnSi7hbWz+LmsFz
uqt1YM52xWrnKgpsQi6jWeuX39jHO58VnotfK9rHD9IOxo5e2aj6UAXuWoeyHhdu27FofwHrDr90
8LOAM7uzXpsWcsG1rkvdvBLj2Nxa3Qp9Hf0gt+aqbNpIbuJm9IAbWT1TeDWfq0J235zERPZmGeX4
SCJuK/egWd5z2U7GF5/wAS8cJ2DCEGENZW5eLdqzB93gaSRAHAtwVWDhYcy6IFtQWLO2Az+1btfM
9rq4clYs+etxlT39rJVJUqqleZE4bjJv/dD2uqA+Hj5lhgxSAlXK4inXex9H9rkyjcNal1MVj5M2
t2wP7r7IGl3zp7lwBMaNWqdvbqCSF+yNg5oznZoq7FeTrGAbN8IxNDqjNa94oUyaiNzZWapDbvl9
djVokt2IxV42HJrRKaa3Abef5Y4C3Nbi3BKj8ZIsM2bIfK1KDm1bDOueWSqrq7lKXX5QsiWh9w+2
Sr5B7xDLJwqHvP5iO5rSdtKfbRUNgcrn2wa+XPeI9tltY1cfeaW1pl3adUjgKYd3ONR57+9q3cyq
SKhOpF/mJm9ppnOfvLlJsCavaO0nWjYy0eSu1/UJvc9YqB6RJNfIHbQ+u41TU3n+a7KZ0u2txuzl
rvL7trgeUpc374Stxrp3k8L0b20afP13p/c7baf7hRnsSRns3DcEdQNTYGgLZCXZDCW51ao/Jjly
iW+OJJLvPkhTbT2uyzKZR0JFly+K9aM+295qNGlYIHVq7irEs+49rBD7BRjK1HZMUu6KMJ0TOUSa
IpbuiEl40N24XctLB0d3ORzVZMjiZtKM0scvc5L+rXJIBo28MXfcfVbQ4uW6rik3UX+keaTnQzMf
KCK8CYCyaWRs8LSafrimo1mvWHYtkCd42Pq3HgXo57ZGp7J1OSWXZW3w+sjtWvJo00ia/kqOcZm+
DNqWmxRpPF/qqKrrrn51UFEbEQ2WljsuJaV3xAu3H6ZdM49a/X2pBiSpJC41wY3Na9W6J/lSK6+a
xRQzXTlbaveYV5HqyFK0TZa88PU02M1ZPZdHyXE53htzRelnae3k35AYPgVr7FeQwD9P5N0tcUsW
XxmaiVM7N/BpMrXPq8BZD8iJHDxZwajkz8rMiOMmHH5Yw9QZEyNC6mJXewlpPY/9iSfsc2k33YIv
zeK590XReEO8zj3ZjTAZ1uVX084w/cJZLtjizZ20xQ4GpO9fy3HO212d6upJdVptXdGNbHjJ+EVX
6teNgIp4D/Rs8IeuUgV7zVpyMYXEfATNtSvroL6AL30AZXFiQsUHcDFouZ5igRaiPnxwqmM2yGEn
0ySJ2LifAUK7458hl49G8hAWAJghCQM9ew/sWJmvD+CR1XEyanFHbvu31csAPNTy5e8HwqoI4Qxo
NzagJwS+zPZrQ+eIPtI+naIk0QmMB8+IBLKqCzDSaUcQEFCHMevAfmRE0KT33zTPBVWyLOtjIAPn
DrlJEBVl94rl7XzkRLF2kDx+//nrzvEx+OhMI30Em37FGeuSgqrmoVodMT3x4sFKB06O0frrH4u3
En1Hil76BfTo3n9YoWtYgeSePBJJkBH8MvXltQApW2ILa4ILa/B8FjcgH3XfBv5gOXGyBlMHrUkq
eY1tWKYfa26NE4Qyhu6Qrl3Ks085RokBULD8bVzPlqCErSn/gvvLmjwBp23FhxXzUB89zrM8rBTA
dNi3vjnv/vyrnS3+rdPJHsPTattpZ5J0w3ZXHYbMcUmWJbQTaBx+EshIA7i9MNQZug9uimJsiyCA
/nsGuDsLBFYPT8LjMtfm73mu3KgaapfUNaPlRGzGv+3GbCYhHNmA7ujhWJnvl8qIy6ChD2txXEVr
vpjstFc4B80PXxvyZ0Kqswt77nwDwBLQN4tkmgoButD34zVJq6wEvuxx6jQrchvPf26klH/dTmAU
qlg0C7TqqN7fj+LKpF6h0pTHDM4oleZChm5o9Y2AwojJ/CVbofOPovW+uS+jUfIwETiZxLmdA+hz
ZXa0kpWwWBEM6h8fT9W/9cWgJY11Elz3zTmAw/EEybcbUF7oLDl+ibi7p6LjPjNpOVaquCQlO1uH
W0OG4Fc8BLfj6vRsbJKk7w3C1o5aVbdxYQfDi2G0XTy6mfWaBP4lEv/ZFtvGA2ri2+hDI1B6/4v1
7mL3azrkR1dRUJTrNEnMdqV+21dS+/bn7Xz2c7G3kH6i1MHtg7L2ZHWklsL6QhvW42Bn004PpBZ7
dmVfOBc/GsVA785VhvuCcWqILHgDZoZOgTjiiPjWJMXyFaeawbvQ2T87fjGhRYEBkQAzHix3T+5L
Z5aZOdWOfkwmtDJ5H7THoUTjGlayWMMcUD8Npyxdf/3tHG72FVwzdLagZzgnZ29Q8I4jTEEdlz5Q
+y39NmqaMrtwOp3P4XZNMoOw0qHPnM4hv6E1lPDhOJ2wb+9mgK9OKy6RIz4YhfKJCeRkhxt0eoPJ
jHdn4cvuaNvaEC9D70UQCrr4zzN2/kNtVwfDwLkEtj49aauyLYD22u6oq9mLcoWl6VTcpGlx40Ou
jUplX7qZz/bwJjvaWqrGljfIMnm/p9zMBv2fKQW1fFieKtX2V0E6q33tJdaxL+rpQtlxPo8eHT/E
ENuy5/w9qacQufXGqhvjMe+CNPLItg6hEg5/PY8cEtxVEBW4J6l6338Vk2fhueD1R9wr0t9eZtHJ
xLklbaNhJPj5QKskeDRkbV9ySN7+we86cFt9sx0XFFZIjk6t9scuGepxLhErrvXyW7fGZtcLud7o
i1EdFhqi+OwWufNq8Ay4+vPaOZ/ZbWg8KFnxyJz+7Yf+p+ff11Wer102HfWAsrGUw3I0c1DPP49y
dgZvHxj8m/rKXUa37P3MikIos6/G6Zgpg5Yi/my3VksXLOjWSzfmR0PhTYO+CQ4U4ZEnS9PwSZGg
5z4dzcayQ32e1W7xMy9SiX+pWRx88LNRDbAguWBYoNsu+c/cYdxRU+fnEK6NMv+GljBtaE+52hzh
M0XaTdKuySfDG5zvo5jHMtLTvr7gX3a+EWn9w4iCQMT0QhN5/yf0iqzCCTvl4yTQBOzNEUPt76UO
HudVTr98mujMtBf0rx8tGf//jxpU2qi83o9p9ZnZDyD9R98G99AHxI4EbHh/veUhouDvjpwY0/Wz
QmsB0kiGklE02PG7ulb0JMv++c/r8sz+jaIbViMvme0msJH4vf8Wj/6exLdiPApPIMyWWscpljjL
tN6DQtlDWFm98YA9y2JwsOplEi6ui9dd6aVatzcAuNVVUirkCaJupj7sZyWKHVxpI79k1MFfcnpG
EGZPCYOHOh5/J+t61bLWhtY/HlnI05Mw3O5XWY/ZhVn/YEmzSzkMYCtSNJ0+fIjiK1xBSh+GTo50
P7GkUzcq9LnKYhyz3ezQ2uvyNpn4QuyJI+n0qHb85BIk8MEKgw0G+oBz6P9xdh7LbSNt2z6irkIO
W4BBoGRbkvO7QTkNck4NHP1/wf/GBFlk6Zspz8KucasbHZ5wB4DC5ibyUNNG2j2tFHLZ0jlkltI8
Ilva7m9//Mtnc3V4RkyIVJ0YcctIi3DzxN4kkQHxRtHxYZVE9WWba64XN6h5vItDIdJ3dKOz+c0R
HEpoOnMkBCbn2hL0sxDk0xxmMrDdtn+kuvjipkX79nNKdEOgbaxlFbKi871d6lo0TSnzy7sZYf9Y
LfaN4Oa9vYqX9y0qsjzOXIFr5nUBmJF0waNqhqnXEwzuIN7YqWej+W/ubazn36qUi0AXuGdgQCt8
fAXvnk/KwMtaZthQBGo5lii25eTJyawZpxBy4D2ds4t3mcEgfJLIskUs4oLzwbIyxPY20u0gbZz6
v4R6cnkc+s4RD8rIZb+DkiTs175Ssy86onm6H6OSn/sFTgo1jSgz+x7DSSXJmaO4+MBzYNfP85jV
n4VmtL3fFFn8ipeTK72ZTncDhaof6/5R67Os9BNqON/HZUqcHbXW4jd9vrwIcjfPv+qxSctpwkFB
7BDFAvlv6vNUBS1SKyZdayVLPlEgN3DEoMlTHlpLutG3BeLPH2Ppc+0XToBFHgzlHI0vWunw3jcQ
vQccP0VivC64ZjaPA1kGUBGN8HU/LGHX+4ZKrdQbpT3e85O5OIostEE8vpp4r9XGTXxXDMMUp4lu
BqJXPqPDaXCdjkeR1dC+cmxd7bq9c9FdbFtG5Cal3MjnXVn055/WTExnGfvGCugczuqhszOExCNY
M4mvL9H45jALlDkhIiLSIFN1juX5cIkxtfkMcCPITQcBh5o2fV+Ev24fxYtggEGIIjF6WfNdXs3z
QXgY+njEMzsQ+Ev6Q6l2Cf00rX8ysrh5VorMunP2L+5pBjTWZSRX4yxutaPQb3BrJx7JEF1sJIyQ
hjqa3NqdT3V1FBjeUL3XgpKx+VRTnLmQ0VwlcMZsfJZgvj7PU3SPlXJtFLQGkKsG2mRSdjxfPDp4
caXDGg1iXWseUqVcPBr094ofl9sOSjwPDn7Pa7C9tR/V3Ghiv8VmANdW2wvaSH6uljQ8Df3e83Y5
IbgvfwuoFDKBKW+2nE3LlcOvmUEr18aHhAqVItx75yW7nBDVYNoDJIKknhfVlVXsM9L6xQmMUCb5
J8XNsF0z1bTOfiOsY7ze3uGXc+LyNzmzJg8Ar81mK4zgeyfZNk6wiqV/BayYfMmz+Z7kytVRyKh1
Xbf5tVWeLIemq+twcoJBdYYvzRgPj6pI5Jfbc/l75s8iOooCoEm5klH0xVpxc+lhcasYMJPdgFYH
VCt4yH1ymFEgaHyoWrp+svXZ+dNLNftfKJoxPcaR0v8sE/QVDqAZFhXYZR6qh9s/1pUPChFgFcRc
JYb5dX4OpiKPnCYs8ADM1Nh6lgBGuofCLLLl8wwy5M/t0a4sNchTVJ+4FimRXPBiumism0kympWY
PufFPFjo3Oxuj3JtTrBgsLKjyYTYwfrn/yRqQzxUShZ2bjDhxAvkK1UCCeMbIN/Qe7eHunzJMNyg
JgX9ACdv0tDzodZ4gXY7H9U00uLoEIB5C3opp6RVSk9EpvJHT+4ewiuraFBkor4EHnslCJwPWtV5
pcA1C4MBKJ1fK3nhK8N0T7z08nnBAms1fQOMgIDDFiccg7HqVT0Mgxh65/sqSbJfyLMjkD2ih9hQ
/7nznF1ZSsLJVf9bpZUGze18VvUkQ8NESiHoo8H1hAI1X4ms9JNCzXHnqq32WE1je8/28NpaoruI
+TUuFnADNx9QMbsxDqc0DMqcl9pxJuXoass90s/VUWARoyBlgzLfas7OaCYYxtyFgb7kv9CUmfZx
47w5hcaTGV8UHht6WTQh1x/in21fKK2dEZuLYJSOtlsMTRzy3MruRMlXDhcRFLrwlASggDmbBYsb
2IE8aiKQhpb4rWYWh8JakC1Zyp9vPltnI21eNMVEQCEKGcmtETOzYfs/RorJER4qpwBM0+FXmoei
298e9uoE2fHojFKPoOB5voxaidtsrLKM+ZiEPykWqJ0/DW2z+NbUtD/ePBiUM1xa1rY7cPxNGEIU
jLUd5fjAIAR51vFB89RyLnZDp5h3akdX9iC9TSILamXc9lvm3pLoC8gIOwwS2YZIZjTwzaX1Vh1/
3lEK31RZeExhCm4rComLDVYnDREgXg8mUElB2FqDfHjzsrnMBEV3wqu1nHn+jXqRVVY0J9Ep1Lt8
dcp190XV6k8VDYvn20NdXoN0/rhjSSBgMrPvz4cahmQEJLjMwSDj/xky/OOm+uuiVJib5Nnx9liX
W4+x8HRY9WCVlVV0PpbW4O4VjdMcwODTAWCgGY82vIMkjDvtbg91uRsYalXAJq1GDmjb2JwTK3Ey
U6OSmFuT34J12iVL/1Z1zL9dK4XqEkpXFGi3sJKorois5skICqH2u8qOf/WLa4HvktWdh/hyPlR1
KIna/EO17EK3bKoA5avkJkh1LM8Y72WnzO3knRrL5QfinacDR2pCBQkRr/MPlNlhEuOHpgVhHxuH
usM/1l2c0svV5Z6T7JUJ4bsGnZcPROPUXv/8n9scMEdpF63UA+TEVlkPB4CkzOw3x/NwAFcmL0tH
NGFvcsjcGkc8LS0rwHKVnuzg/Ihz692SGuOdW/VyOsS+pEFwoWEFgX84nw5yN4te2akddLH6X29G
yYORSeNOMHsZQjDIOg1YhoTy2z5VGE0obdSdHaA8Uo6eXgsIHpm1fCVNFoBYkYlAXgEM21tlAFfp
daxXgY9ArSIr2sQuUy/UrG2B38i2ax5ie3hVhjq8M7vLJQRnRIROkY+aAnzA8yUMnRzlrronVKnJ
GVopQ080ynDnDroyCgnrKtILdtemtHY+CjdTXFBeCgNjNsvdaFalH3VAxG9fP5Qp+HvO06GV1M0V
DoiUSqK2OUoKhIcmrpMwyHtpuzuRjrb60I1q/BN1hf5L1Ejjd2lUijjocb9yv1Htb5zVycydgVeZ
oG99Oxu1/J2WUDh6bfNajJ/WZr04hGk46O80Or7lPrPzMnwhWXWs/aSEan+IEMoRMCsUfXgHVqA2
Dw49sBiGWEFRTdUqAORRmXXTI5ycaT4i/zHArXILN9svdWQbO6VvTfC3STV0J7Q6c/XJnM3eyr20
qrtsDz1qmI8D0h3LgzWqebjHodIwPhtCTF+SqS1M6EjIa73UiGkZD6Uu4mlntyHIV2XWi1zuBjla
y0O+qLkZ6JKii292RUtra46b7nXGTFqHldJ0/7WF7Np3VZXSM9TaPvo8CVSyd6MSLtGHftJxOCgg
1rW7hZt4AZINOnJnN635iXNfRw+WLjTK/kg5+RkxpbEvbZDSH6StlS+dxozfRZOmZwcLiejmYbCN
Zdq7SS6RW9Fyww1GAxGodIdufj57VSkQzVHTGf0Vu+iHz2Myzv9L6x4NHbEMuemPqWrmr1KnyYOh
qD7BC5KWFXVeDs4MVyukXSWmnjoPES8XoBE7WTBnhO4yNhBuENYvXiBixe67GDpfQTdCFfI9pcvY
/j03Qsl/dLWU8aPaowR6NHCuUr5p9gK3pceuTpxmzbIbD1YkzBn4c2YaH6YpmeQDHd/m1FAf/Wp2
VZeeysZEcA0ylSjArBjS2S39pA6HtMS7ZDch8CWPqjGAxS8aWien1MRp9mRXwDR3JtoxjV8NshcP
RoJqwy4GQVQe05xg7yQ0VfICGnyWJ1Lv+c8wm4P23pYqpB8BquVHq5itQ33AtNqHpW7Lfm+XXYSE
j5bWI9op+vKShKHl+AB94+S9MVJweDKXTh1OxORDerRSFIR2MUgYtIImjFJN6FcSOYO5NkqE32Yh
a7TBmqx7lIXMQn8ujB7diEpbCr8dQhF5Q6enciet1ITSYYp+9JamQ7KmtvCxXbWDhvzUhWKUXlJn
evugt6Cndhmyyt2eNyWf2Su10vgE7T34eIF37Phqu5LPG4G/k/6cOI58dFtr1g+DskQGqmnD1O+n
eIzGYxWZ8Ce80u208dmlIYQ50RQqYo87eW1/CzE77Z7cMXO+xX2qfESGzXX9JKzj8ika0VfwlBy9
Uq/XYUH52dKyn1ZNucJ3rFGE3hJBRPDHKlYbX5C1hRSBLZn6CdWQ2bdyaAAEK0YiPTjkLkaNFGU+
lLNIP2pqLT5qSL6kzxFmYurndloK+ayyXxCXxoR9PllNJm2vzJqu+A7Xtht2I1A1sTOmHNhuY0XO
MMCeNPO59SV2z5WXFBr+1rE+Od9MO5yqYyKNRod0Qsf7Zx9j7wluGkpWS91wMl7zPs7/N5i1Wh/H
Vp9zkNLK+AXYcZq9zjYYuA82nIDpoaPo0X5CAInvn3Ru9aURY6Tu4AW5wMbVCT/iBpeDD2mPc+7B
RVLtR2fOefhOxT0y3qecY/lzHtUJY7aS4/44ohkLbxXiX/c09PMAhBuMauWD68/H4+pSau37zlQn
j1PCEsLFid3vXMNhdoRxNrRevxpGPsx2aPQPYWy73cHN8Zb3Gxuj8v/obNSO309DpKFduCAYKSZX
RaKOQuDyZPcY+r4kjQXFq5qnVnuxxBQtxyEalemgZ1r3dQntfvoQQaZp9olS5/Vu5FNiud7Marsv
xnqR75MsCqEWtgJ3ahSc+k7BT2QQxm6YRIlqn9lWxhNPbQhdpaAteYjNKZMnrBSM+jGXXT8FBQJc
4oM71JnhtfFka0/ZMEFj6XRXdoGzhNr8RNBt6r9CzZRfcqmP+qvZNK79OasdUX4NqWkqH9U8HrIg
H5Sk8+JFmsux0MrufbpAxT5YKUTYzxi9dWbj981sip0VjvPEmy9DuMhsEzT/UI90IBmhNFPvFEhB
BYwEpxWrpNUQHcoaZeJD0YTZ5MtO9Np7jE2W5eBMdV35fR3NbKwFjuLRqQcLv8t87qxv3Fh99XNB
nVbYfqXkJeyiOizHA12x/pMtZmP2h9oJ7VMnaBdwPURLHHDA1RdrsSplP8i21x7cFhPmH3CF8vYQ
p9QgD3QVclX3pkxE8XMyo7ELoL02cxpNhlgO0iTTRm6OpB8Rsmj5HpvQoTtPm0OR7cyWexOuQFk1
H1z6t90JOLv+AV5JXf5UZBuFO9hGJLYJccQf2lekTX3mLNUDgLAGv7E+AU0Mta40fxtJRPMN/Y2q
3eXczbRMYa6bHeu86PkfXp9mfOcKR7je3BYYSogiVRMfQc5ePHZpCo3Pnemv7M0K6TsPSdI+9Oj/
mRRFMKUkxDTFYvtuNWufarNo0X7rKshcy+LY7yOls9Jgtpc03S+5IRBnL5Su3iu8ncrRcmfimrRS
MNWO+EpTAE1RN33+Jyd/FsjczgdHUtLcWU3sYly3xDUnSarD0Ugn8aVNMMZ4tudMVbw5WfRvfRT1
yUsqnIZjuSDMwm2GtFj3oxHofsUee6QcPy6jsN2PLuIOsIXoHup7J29pViAjj94akpdWdVxgdX7F
DMqAPsUPGfLcx7aOZ2MkMBKfZ7F6fJW5/IwOHgAc7t/lCfEvQwnmOk3Erocl1v1OpqTCHLsdyx9w
oELUZ4Fh/ZQQnH5O8FOW/ZKuIKHJHjTu4wj2D3Q/rc0OCXLhv/EXTeReg0STvpqxm5RPRVQ0GsHh
WGuVl08wMXZr8oe3RDlXyZdUpln7pUQ+E1qsNiLLINGlgf486dMzvUb8wMtZLuLjbGmwKryYd+yz
CQi9eZUk/M2uoEebQo1r5/eZHff5fsjmrno3jWM0vLOFMsoHaIvKE4wG3Ntiu09zllm0r50yGHSI
U2g/x6rrQtt3QBYoPtxcyCBEl/xEkMTLlwixxepFwUbZOjqGNH8hYc5uG7q4jD+EcSVxbBPIkD1R
ChuXR6LjpX2oQy2R73MnbUsf3ezZPobKoA4/bdTrnotl1anELsmajtWiJuOzPvbFf07ndGrQGr36
RYyuMfxyw7DR9iX2LvNHh99qvKlNo/nrXAio/fiXJ8eG4DRQUXEwfVRJzInYLeWurId6kIe+WBCp
6LSKIonX9HWL90/toJJ50hH1BFzRQGvxQUuHPLZ6WCX7ThH6p8ihvniQOLUDHVgaA5MbRBkd2yuE
AYNzMJyUK9sVVe/rTtTH3/V4cvSPTmz29ZeuZzMEyMnhZmTy+2IXdaumgwfGZSyerDYvaoQF04La
JJvVfImMwVbfV2y45pMT1dqwb8JSGMeS2x4YhjWbB7JCHUmBDNrLY1lASsXDxkjGx8xoM+cJqtBY
Pax8ovpPbjVhvu96R1js5xym5GgX6BjnyGr2R8h3QC9xfpC51w2aVh7AD9vaB000ItyXSRyiFoi8
ojI81Ui8KZknlahArEJGifgvd8KsPxS9XGgOCSiShxQChIHUbrJweiJlVTekxYQCVsOVVvkyleH7
oW6Mj1HTwXgz20R27/C9La0gErj++pEiiq8o7rHh8tatlEMYQon0Rrge1XGqw0F+yOPILtDGpKKH
jstodPmLaUt4cV5vyVXxvYSu8OQWWbu8zKbVs92E1MavhVKiKpnCa4z9MEoX14NolyleVdkYc8U8
hdbqGxr9qKcpLH3iNuDD4eLGu0nnGvJmtSfs4nGz7lnmrPXZ88TSpaBP+kpuSb687b2HZZGaRei6
VCD16Ji4yKjK3tLfzTrSG2gfvFRNjFiFKOYOqVnjrTY3tErA7lNToZiyMpw2hY6o78eq1tswADJS
eJUjkvewS7DMwy39jr/X39rjZqrot9AwocOMYtRWrE846WQ3wg2DFiXb1JOO7H9G0DA+VhByba/X
6uxHlcXL5BW8Ma9uFimuv2Qi+XU7m7+y5NTEVGpIlrk23DZzRtNSqQAGigCp2cqTdtYc+Oj9AW2b
9gBdegjcuMD7IeniHYzP19ujr3/7ZhVAJ1OCQS0Oh7otmQHZ44aHNY9OnLClOfTtYsO0JKT5uqAr
ipBPAS3rXv1iOybpDJjolcUDQuECk6+ISRrcu2EAd5yMzw6bw+L0xntjRsyhV9T5TlVmre2czZHx
qKwDSsKxUAF7wZ//Ww0k/ee0s6vKhM6EatbGrz7nQk2l7HbY1oXvCNDH76nV3xNiuih5riM7Kp39
VWKQCvj5yCkWXB0FE+o0aZX5WSzmD5DXEXJG2u377Q95Ub5bh6JHQRuVRiANufOhOnrGUznRAQSR
OX+Dh18cxtZqDgVCKce4J30DIIb+x+1Rry0tX5BGKmV3mgmbzdsSKvWOpM0UqdnX3KW/lMbyUR2G
X3pFMgs51sssJDBuj3plWaHdUBHHzwkxym2ZrRuUXJBZiaCxe3XfhzVxYG5LL8QF4P8yFD0k6qKr
luK2XTylsHZrcxKBXYfOHhWa3pshVVNPiO6ph14U9WzQpJSTXQXEBtfvpnhoCdvIhRjQ525G1KtH
tN/1RSnvHIZro1BMpjIOrY060GafiEopSo4JX4ySyK6EBOaDRbrXUbiyG1cjSNBp+CKv/jjnuxFF
o1RqDg6+SSnSzz3aDK+SldRPrYF3rJgmh5IMCr7aw+2dcWU/rjQVmiYOOB4utfNx1aVeAPFF6UnB
/A0eaZOf0kGiomIaCGCWfbqPpDq9ZnHf3Dl/l3uS2vKK68HIhhLztkMIbsFqZ+ogJ0Stpd9msfw8
kHv7FIzugbwu0TCccTpCSPUB71yvtvNZhmJGyE5m5UlvXGxRsTDN5I9IdlHyPlPanqpr36vmKQbn
bj6o1Io/zSQ83aFxwh6VDktHJYKNqPRfbq/+lTXQbA4mu4qTCSDm/Oey9LVThaj0qVUw+6CrNUZe
RyuSPJew8XB7sMstxkUH2oGO1Yp7uDgu3aQr9NOz0zLpCL90Y+t6A1omjxJCIqIruhIX7+u0COc7
e+zyBGlUOiGI0qEFtbfd2zHpcttim3gq60asmh3kBUQtb754GMWlZKnREIaDuk7/n0dLz1IkVJw0
PyGNID5nZRLu9XkZcFwI7108l4dmxfFx6A1WcwX3nw/VYR4MIZmipFnVyiktU+NYozTDDbE06P0k
yPHlsLIpYbz5LmJgSoQYktF1YidvBs61DmZ5kZ+0VAx7VKomr87n8K19R5tRUHUDTkrYgb/4+Sj2
aCLVgcDQCYkI67deIGrp6EvzLXSG/q0gz79DQRBdCV9EsNr5UAp5CweXoUK31Qhq6DQ4Tvb79sZf
V+U8nOFiRQjUgS+MC80WcuegINW2zsLnynLnGRVhbdkBXKAsnGVAcmunMu9RXq9teZIBwDHgVrhY
1z//ZzN2nWp185Tnp0IuxfdpyJdHO0US5+0TA8ex9iBp4bvbaImGltpUZZKf6lGxD1iRkPrMM//p
iLyNMVPePh57AjQmVSzARduDPLdO7RRJXJySBBfDZcm/dPQ6vT4bA1dN/7s9uSuHDMCZwl7nUVy9
ps+X0BysoUc0j63h7ApbVsfKyD9qMWlOrWvhfnTqmapac+cWufLhAG2jDED7CTqAvnkpZjfqywzN
pFMmCudbPXIZsivlvTDw8uJfcza4QbBhQHpsI+xG7dJsVTk76Rkc2JFa/iEu9eyxs5e7hN71Edls
f2JkYgpnxbA4WxLFslDWUeawPjWI5CxegWht7ykmsvFU+G1cSibaDJ+UNu+ewWC2P6amHmWghBGO
DdzcabeDAjJ/LDNEw7xkilz9YR5cPX9ss07XHhxzEXjLEHWKHQYUxbC3kz6bdsNCW+HEO1qvIuEc
sUNGAm07noKO8nLkNVqtvMeh73/GjtuniM3yQfwMrMi8p66AaGWmN1V0qso+sn3agwUWhYkaz3uk
KMizUTJGApBqepg9CJAnqm/C7HXAeC4EFEhFtdUjRODqTh58ZYe43A4KCTcqvKi5nu/L0OkM9kha
nkz6NN9Q/pMv2NXccyv9m01vvhr9ffruK+IIjYr1ePxzg6jsPCcf+vKECpVeP6LZ4LhfsSuhO5st
lNo9RUN09ERDkDZdHzdT/6QlelTs4LvPya6yRv0PmpTtdHTCtm6oz84y3i9RXfwUMGnNoEmB9H/v
RyXu/YECbBTcPr9Xtjh0f9g76ysCwG1zfgs0SENqb+VJiEx8y9mDI5g2Rd3PljDfLHUBiY+0CnQK
v3BH3DxZmFlZs0q2esKAcXjoZRrtE1uvD3TExJ15XX5/riO0gsndSBtB0Z1/GLtDy0enEMcNsVj6
Hg3fQUeOqJjiw+0FvHy2qCxR3WEwEtQLmIeduqnqJFxFC3Fx79d5ji1CouteFmLVRO2TBsbtES8/
Gdc78TiBzd+nchOOVkgEttls5aeKc+aj0FRx7GikYReu+reHurzdV2g28DOAH2D3tquIOGzRhsZc
nNSmaHfa/K6sSx+zHYqDazkZK9JilQEN71zv19bUXXlxCiAnYtJ1Bf45VTluLRFOIMUpSrLUi0dn
l1i54auN8XXknr/zXl7ZKhrwe6TIbRJI8OXno5UrorhMnOJEqBDvik6PH404fzPtg+KjZa1DEGVD
0NkctAUxLhX9sfqEeA7+UxrVVuAtKKfyOe98tSsTWmWyVwg6vDyy7/MJDWOEBLIY6tNYSPmc2G70
EGZYrNzeG1c+EvhH/nbgaHhcb4FVDrLf0MuK+tTVh14dWbQynTxD0tbRxZ0NcWVGvPKKveKcVpjd
JmuQMaFahczeKaIadGjAWxziOZ8/3p7RZeq1UqdIuVg2AqgtG2PSeVfD1GLdZjJcQvuMVpaaw30z
K5zOpDLVfoZf0XJnJa8caIj/vIPAB2G0bHFwnd0MJbqx9anNW+UggQV7ZiHcHaYCbwad81RBOwLN
smaXINzPt4aeKtHgdGF1itNp2dVm0+/SZrwXzFyZEOeWgJdkkiLstvq6xMAtllarT0sPBqmIGudj
AYD+qA+p9eYsiIdXBd1HYg4faOu1PiLAi/dI3ZwQte72RDSuXzSp4c8q1oq3t8eVTYjKPUUARHJQ
DtnWzFYM9ZCOVXPSkTQ0QLi7wt3PejPcqzJdG4jHcZXXwpUDDZTzjyRlMqYIljcnHCBTpC4maGJC
3MvEr43igmLm3YIBDxT3fJQ8n43R7dGOQwlW+RCLRXPQdQTSdmfZLu8J+IGQLMEnrnfSlt9TdQXC
rVIbTm6YRvaDLmeUnhOlj6b9LFyU9ZLZbu6FNZeTI+jjBcH1ASkj0q7zyWHfSXd1roZT17n5aSRW
oNFTVUl2J8y43OmrMyuGPmTgQNu3R7d1+rYrpDKcEMRuDhTpBw9OWedDHr9XHb42JeJjy3b5F1zE
+qP88yh2mjVQCbcGQA5xehh1TaK1Iu5xX65OyFrfe8giPFSbhYONZgN/jMZTrk7FO2GDNEBx1tRx
IhBwu2+fqMsLlxzOXK2XcI9AiWdzG426mXYtYKLTaHVltpuiybUPeidIHkw7H5IT5XfNPc55ET2/
fWQyA5j3dAN5JNdN+89iLoaFDU2ziIes0UvLL9GfLY9G5YJjmWewTk9tjw/cTrPkWB5uD30ZU61l
FDYczQWUXrYqDqrRx46TZG2A8ETr2aW+fFZjEyHdRYkeFhr0z62ltz54v/DOcl/uIF5OZAk5GAY0
uC2LpdWbrpFF1gWDaIxjWne8bFpyD/d8ed5ZU26u9Ulbc/TNvSKlWvcgO7sgU5KPY1rgW1vU35y4
+mOZXfhwezEvtyuMkhWEuvrUUzvaDKYmBnAmxUIVqE2Q3l6i+ZCRV6Diod7D+f8lm53neutYKy6e
eiKMrc2eiRKtDA0jRqKniTp718RgQnaoQg/KTtaJka1QTzADK6Rn2WHEqDzRgBiHj6v/H/afQAjV
3jNiqYd4Z8q+R0AbaN0hERMN0jHSV+/MqRnBZaV29OP2Ov298LY/PPgBCsqkKNSyN+d6irR0Upu6
Dro8XWKwpm2hPxs6Agr7PC+dOvEot+exP8kqt08hzM/Uzzt97HZJIzNg1elI4L3Uczce8KGOon3W
UzXJPRkVqvNYK61u1C8FytPaVyMG6XAUrZP+NPk6i5fF3J44nZCB79I8VlUPpFNqvgcIgY3jRDU7
f9Ewmhh3EdxeJMXAu6UYf0R5/e32OlzbLwT5Jh9Soce2dVHqxlIBXGJkMNWAuShz/pVowfTsun57
DGSv9Tfsu4n6KVJtHnE0cxN9AuAcjGvxpp+M8YjB8IQlZrTsb0/q8lzbqBcgl4YYJ3Pb1tSbznV5
28IyqHiI34EOKna5Zudvvj0I6daWPsJ25Etb4jXJSlfbDr7Lg1TyHVqj4YNWF+qd2vmVDwSFla49
5UvSl60oWyEAV5nx0ASNGeffWlVb0h0a7tnR1KoqvxN4X1k4OpJrl2VtSKAudv4KjIta6rMaN0iZ
Ot9WCGUw8srf+TqX9yGMp/WNIaWgt7ut04Mir0xQJ22AjdL0gLDtsiDT3fVJoESZ8Tu0xNDcofVd
LiLClDwuRMVExheEOxiSCEHXPDFxnsafZGtMCFQKd8DIm8hyuvPJrkxwfVXQ7EAqkIxws9P1qWmI
HVclOFAlo5eZVtOCG0RB/RDNRmyAPZ9pZd/e89em6NAiB+RBUHRBstbE7DY91jRBXdb1M8SN8TWv
nOYpxb/jTqxwuUsg1fHGwHuhws21cb5LcqOo8fZY+sDAKFv12iJzoMi17Zwdbs/pciBcFCFWA6xA
jeoCJiRUTN4KvFvhPPSqJ/UM9Gmkv5nDDX+b4I7iEVEIdY/NS+AUEQVm0+gD7GJ+RGZzVAv5fqp7
+DaD8vZC/RoXE4RT8SB03V4aDXa5ihmLHi5Zn38bwFbvwQZPdxL3y83AKDSpacgj40iN8fwLoe8E
JFVphmAqZfmIHprtOZElV0jivVz9yjeiUMqciMM5zdsula1g/EOdYAqmOhM+8AxMvlcw/pt3Al1w
LnSAE9QjtuApKUp6Hwb1ffTOsE3BK/SDUJflTvB0MZe1nbdeTkidrJ9os2wpVCZ7jAGvV3gCvO+V
1cu+q5w7l9HF9QAxlUMDTIg2xUowPf84Rp64iTZMU5DpNvWTQVX2eIzhYCLy5DhhRu/dXrur46G7
QEpBB0zfxteKgqiXjlpMgP2Y+0qFfdpXk6x/j1qcHYUawpq5PeBFQM8EsU5bCWtrgGhv7r9W5DgU
uPoUmM1s7JMofpBL8k1O6pEU9IMaak9LYdwLL64PysnS2Irr4Oerit58o9SLxbdTlG+uvfg0GFuv
qzGFieOk9Oy++zAV050wUl3nchZGrnOlaED2AHqISOB8WEzT0k5rKxm0EeD9UVV2ywi2syu07DHs
hXjFFGX8JMsyAdlZtMar1RjGbxman2+v+UXmyM9B1vj/K/yr1PP5z5GncwM225JBVBoWArtDU7wI
2suR34dquVKcSvECLZfs4/bA13YX4h5/ifkUCe3NmVHlQHlIc2UwDOOME5f1swF82+Iu6fVV9L/b
g13ca8zSJXak5sT9SeJ2Pktq7tY0JEg7xpThPww4S4DrF9a3MDR/v3kkclEAVDBWuXe2+rFT2ON5
uKD8KfFtOOGlA5VtUPNAjpq1vz3U5a3DSCik8PYglEz96XxSC3KxeZ1BnncBtn+1Bzv7kbWNeecG
vbJ0dFEpyXFFrwrCm6WLVQ1jjzJVAuxS0+eyzu3HohDhszZ2xZ344HIojcwTrC0UWfpo22oniWeu
l50iAye1p30attNOajCM4qR6M2Oa4u1fARvyCR7wbRZHeVq1JfyhoBqb8aOdh+NXQr3kTkB3ebh4
TPlG1GbQJaTgfv6F6klJkiaL5kBdmtnXGif9HCWr7Nuoi4M6JKC4gUDdeYyurSJYTy5SsKwUcjdh
CXw+Z5ZGMQdJBPjRhYn0ZWTVPVFFy+e37kA6gggvrh198E7b4k+UzW2nwoELElrgD3kPZhaBcLm7
PcrVCTkEC6uWOhIYm1VUh79iPeocIP/8aUb+bw+qDdIrTiF3Rro8USAeUUkFnkaczc18/r0SLbft
eNbnIJPtgvOWG3p6Dyvs9nwubz4+Deg83FGJ8S9AvwsOstJyyyWg5f2x6uugp/PplXPzX42W4f9l
MI7uivplWltee5urlRNCTAvcwZkRu7AX+5MBBBi+E1zRk0uwp93pJFydH0/pGqv8dZ8/X8WVTWmV
47QE0oHi59dWK/1GgerSuFoHlKuc78zxcoMYKs0sION8NPbJ5rMhgu/MM2iPwAnLNlDRCT8Mrovp
WOvOdwBcV4cCIwawCjVLiv3nc5s6/FedZTaDlcZ/JHP5DyNBueeGau9M6nIvMinUXuyV87A2Mc5H
6qo5DJ0GGUfNFskhKQcD7SYqrLf34pX5rPCBtU5Aqw5to/NRkrkc1cGoHBJcXI/GohU/jALeEUaX
5tfbQ11uCxaN7A+8kUPXbKttlOVDZxYl6na1YYJFGwqI47muR3sV1yicKV3x+faAV1YQ0YjV3xhB
NFrOmwij1RcXmwbDChaR2u+iBQxDvxjTnd1+bRSHS4Pb3f77vc5X0Px/nJ3XbtzItoafiABzuCU7
qKnkJMv2DeE0rGLO6en3R10cuNmCGjqYje0BBnB1FSus8IcGaiEmUs7J6NyCW9Yrih9qmmZXbvVX
hqFYum66de3oq54PIxs3JRo13dOcyXiv9BmGx/Si37/p1ot2FV2jYgQ64nyUpPA6HCzT6KRJzOvT
vPb2PSHclU33yly4X1dvHQrojLP5MGWhidUTzyX1m8UfK1/cRzWN0ytH9fVR2Nw69x7PxuYA1Ylo
tM5KXSyQ5+7eyUpvF6ODfeXzv3KA1hAC/AiJM2W2zWsbT0nnwMl0TyoCasjh1do9gqSYm07pNWHX
l4fuPGegvMYzSNlBJbjcygrZRVIpcY4whEYmFLd3iF/6Xe0AIQGv3bva18yBFJ37Kt64Q1LuWJcA
vQcsOhIEOOfPAnc7Zf46u1/UuQ1ycd8p8D/s/ItQnqM6uXE8jOtqY/rRKH/ePoqXZ5/Acb00qSCQ
vm5fod6Jkx5nhYhvAZLSyCoZjpUeB0ZlogUeDdc8FS6/PeOxt16qaRz/TchAmqoMcwKDqDTcCcuj
otzRmboG6ln36fn3AGRPYZC6AhU0SsbnpwWblw76zoJUYFsNJyIyOg4SXrsP09n7APYsDY2uqe8w
xCueybLGK2pxr6wqI3NYKb2u7KzNDgf2WtpYAcQh3QVxQl8Do2KsF3fEa5InKbmm83tJiaNqbbH/
YGysjZutYLTaSt1BEy4OU1fM03+aix3xXVyAig0sjBb7Y7oiFm4WXhplN8PU/GNZ+QpsEWbm7t+9
pYCFr3Vgskfe/s3kZZ/AsS4zEeKGqu4Gc9RDLVFgjaA0iw+it3t7uHXHbL41VyKdRvrvNJ63UIIG
hTw6N6I5wbmX+05rzNM0jfqtVyf1DcDQ5Ma1l/Hr24NefmD0zKHekazQAKEsfL7BMBl0ks72uhMO
pA3HXiJGDBHRkc4JWy2U7NJyaa81rrmJL+ZKDmasHJkVsXZhlBSJVRuZLuopbntXCSRi2UPQNO3Y
7l/ICHfDUC5PrmbUTpCPap18W7yut/c2PMHHbqBujRqUindoITBaSLmPRJTm3EDAXCheVXCPU4lK
dQDVLree5FJFpd/HBDwPmj4YjW/38IZOddub6cdmzkrlW6HQuqCXPVn96r9d4sqGsXmzGy3Zl7+z
qY8dmgGijcnoqj4vdyKCVft51vH5xiVVoR7rZO2Q79XRFT22sihxHyzYU0/K2LnNN0uKNN3jROB4
e7vuVfdoT6uSB3ICzZ8G+q481DGExds0GoaEn+nAJFMHz4HuFU06boyG9gwdBLtEFG/6TzId+x6j
wrLFNXdIMi0NwPcs5VGXnap+V0xtVG60allaJE2Vaviqm2SKqR/FmafuqzZKtedk9NzpQdTkEX+w
dE6RD8jjeUr/G42oEXd6i1LMbbz0yKJmWtaMgS5tZDrkkMVfkzQR2jHNl1wEblYDT6KSY6fqrVBL
l47plMzJxNgpCk7OfnIzaRyc1HGqUz84k/icqmUcC4xS3RTPAmxRG8jkBE8+2DttfPS8TOcoeFNa
B9MgYRA2VHP1o5dUjnPDtNM+MDpVVh+ipUv1VWa0aJ/7OlM8pCj0pbrBLyj6Wyvdkj9D2Y//2miS
iL1EwT2+ryrNjarAKCK43mObQezP+hIti5ZCFdJQfdnW/iB7S91HNIMxpS47w0QRpVXVp5Ygt/sC
nCTWPs/UluUn0MLdcDKsuUVYCbFr/Mf7EgkYkeROv5dgQ+sPQ5YOPxYDDel73rDBCwSqQPEuUTNv
oaE7onWFXW7U7PoMMY59axWJPGK02U+3M9oEFroPxVwd+NTsMUPn7rsxlrKxd0062SJMnSQdDypr
7+D2reTOD1rZXvy3nrQ+2Wmj5dXQW7IGDmih5uVj3UpR7hZ3rPObunLa9E4Vqv4de3s7fWh0vJlP
ZTfVsEdagRN3LxBHfqhFDW8fuZisC8pI0T4N5uw2dzJBeSTIRn2wHnQ+O23ADjWGO0dP7Hv0oXCd
rjHxbO9iep/aAQnBwfk0Q8MTTxL79+xReoBcdmCD6u5bHc/5AwrsiJXkLFR3LB0tVkIxJHC9UVWx
ta+F27g/UuRG0FTOkTh7UFRgEgdBY2Q+po09o6miu5Gu+kVi5OPeMHk9tVOPsajx1PSNkF9GS5m1
RyuqECFNYQHiwVoh1CcVH0+kWceLFCuaw+ThmO5TlqqjcHIQjQoWiVb2famM9bOkRhUZfmTkyX2V
au3dNJYDAuE5Hr1Hp+kMS/FdqH7faOVHUwmHJPOGzEeyjCtvh76SiD+RgMUSD2CZVt7OjBWnPbS4
q7bl6liqMGslTqODAcpMfZgzbmc/ivI+Os3Uxp9By7sSWSrP+kqgjco/gMcR3SEx6HYAz1ihzilq
19tN1Cvr3aQgpYUWSt7MHMe0n7BF8UoU2ZwZlzAN31sMoV0Ls+2uHp2Ti02vdzuqovprCLb5bYr6
WPmzpoTnnhQDN9Zv1pwmf3RhyuQbvJ+ouW21afgNI87FNxnhKM8f1Up1A8WNB3O3WPHsHgcefSWU
EzZGD6o3xcZJ1HzbT9aA38FRSQwn9wstrsVzPFlU5vD8bKZdgyZGjVCO0ZknNcXtHqidU+T3Kg/m
jBfIaC2QWDqJJqoouzEYq7hadk4/ueajWOT4Gwzl8DyMXas+DLmbukixIdHoF7KYh//eflJfiWFQ
v19Ly2xaQENb8GGdsM1FuRiw5hN1Dx9r2imLWdzjDSROBuqqRzSkTPyFhuZ+MGukX1wk2t7+ES9I
6PNoAjqFBaaey4Va0DaSB0XX1KUwjVPaxXhHTkuc5nviGbhT44C/8MzntG/rvoX+M+ZkUF8MrXaq
r1quzB+4jIp6V8ilR+LDWBos4XEUT3HjrnWnSMQeu+jMcHwOZtGHrtv2yEiAhGn/6ClndZwKtz9E
bTsoe5A0E0bckLfMAzvA+zrXRsOj7iSAufypb7syqHqk2w4NrAa9QNmKPlrj65OJ07dvx4PzOx+1
aHk0ac2P7w3xVj1GOI4Avl98ADchnoJonlyGQoYFkuNGoPD8Nz7nV7jHuatQPuvtKVNPb3+bi9SB
QVeCHpBsEmHaM+cxVwy8bkGFSYZtrA37RcHDuSy5uf4fo4Cag6MHnZsq8fkodTUXy+IYMnQyMd65
DaXM1GqtK3O5CFpBY5Atrr0BoFakCuejjANmg6ZTmgRyukUEAAcGq2g9u7MSpQ0JWr0Te/2a79Hl
Cq6jroBALARoum5S4sGjLoFWl3mqEYIrUQ/Ca8WHaDFdKSO8NjsYjpS5aVHSAVn/+z/Qw9SgZIQn
i3UCCNIPe97TXn4acD42Ar0qZ/A1RtYNt0NtKN2VbOAiMEdIAfVIpkjexfHbTNGqUSljNyIFs8jf
fT7eNc3wy0ud/4SIrvkevj7WWpaB4YUEyPrf/5lmXcxW1dN8PjXw1hBRiqL2KBfVw4HCQAGASvW3
9+5NJoeA2sqtoPW7BVwhCjdbusLkxryrAm/1O0d6sL5yB5qvbJOVU4FtFHfhSjA7n9fYSCcqC907
lTbM3j2EL1P3Cx1gWWBZiNUFM7qMza2F2ma2c8t24U3PZih5mGopt7WUurhppRWbO5EJS0Kf83Ak
31tLPQ27yGmK+da0a4nEVeIM7slaPdDsQI9yBNWUrHXl146jaR90pCqfEH8bof2qcbsERCtG+6Qh
q9U9eXKKo2NFi7jHVH6I25NVprJD3tB20l0OtpSImcQPHRoccJBGbGJXDYBc5R2/J1PmsNIWSLfZ
VCvVjRXJZNmjnRc9V7aSDb7Xe5N8bw0PvNcKFAEsAAAG5NL5uiZCmFjDq8iHInokAxt9ONj8SG5e
gSNcfj/GofawlgsBp27RPPGk6X2to66u2W1y8joru0Vxrby2Tfi1Zy/lOhvAAJQ9iYNQjT+fjUEK
AAEBwSEkWqebTLgyMI3+2nleX5KLUZAYXuu4FNi21sB10whyfvYiiKTiuUakd2/KqPtYGp64cidf
Ltsad6zcVKq5K5D0fEITa9ah3ibCyiiyJ10f6ungSFR4rzye62c+nxIUVB31InRQVNBd6+/459qY
zbHXy1FJwoUuDX6JGmSLHWEjNOK2MZfZb+C64ZLlKL3tZ2neXeGNrh/mfPwXyv4KQGRz0CY8H9+w
cPsuGkp+uAJOAcq56B078sY1+ic3G669p5cfEPdjKiQqURWVkm15HFJoW/QFEj5RXf/U1Gw8FLCE
/MUCjf7e23F1iSQkoe2+ilFtXm47xiKYTi5RfiYpteX5X6sY3w1b4m+GcUuxn/4EQLbN++LYpdQb
qSgU9SRpzTARQNfDu+ltjPJSTcZlxaaQtrkp+sRxayeb4zAupuwXcIIynKzsmsbR5Yan2E8xyPHQ
oaYEshklAWdBwu7EoZpm1KmLMvJOorWvOWm+sgNWfXKuI9pLhNSbYeK56dt0zkWoFML8aC2GccJs
awrdQeq7t7fAa0OhxEXllWrgCow439pJl/VL0boiRF50DFRa7AeEbJMHJGeqK7vtZeOeHyN3Zc6b
60GGGPWCI/rnGDdGi46jBit2TEpz2PWeWQ1+U1RcuZnVU9wGrtxkP5tCSzTb1zQUGf0p6yAOWmJG
zXexXJHddaAOstt6iaV2sJcCrnmBB4x+MsZ0EFeq0q98b34upxH1ca65bW4D0LjsukpLwt6khnij
UZc2bvqlIe18+zNcDrRGKQAcdGA2vESbL26b+dI0aZyFjduW5Ah5+sHy5DUDq8t7bF1+Om6kITRe
tvlAmpq4bqDFEPaZGj8gGLn6JbcDwrYazFo0TKP6ys392rxAEyKlAU6WZsnm8JuYqCZYqELa7Rdk
uZDglXsZJeb7LxkP7OWKM2YTg3bfrF+T4D1rSAdmP/X5kOrfCVpBfeUZuDwr9EWgr6whpY5w1eb9
brza0UqzL0N9IrkOGndKkPzq9f6jCn72mk/bevLOT8uqqsIdQ+jq0N7Sz09m6ixzLzu4wW45mw8V
bISFSnmv5KiFNAguaqCps19izIsJdN9EKYr7HG2Dd2/MNeEiR8BOeoU0nf8KR4lacgYK9k5rx761
ZModGpvKl3ePwksEOgC81BpFryv/z80wlbLOI9uKTnWcaveQTjofZ4H8yvdbo/B/V3TtNSJJA3Gd
Bwk4wmZFI7dS82iEQY6wRV8fPXhV802cq0Pqozi7jDfCRRbVL60Ir963J7gu02bodedQqCE7gMqw
2TqqHTvYpjlQbJ3ERSZ20qi5a/rYocbviMYXPFaaP8peJcim33pl+O0xZOYWZGwogpQCIPBt8pPJ
HYc5z/My7PJSCTp9nAJdneMrXepX1pcbTF0vlhcc3/or/vmKJMcxVipLGWazVn1HIbkogqJrh/1k
kcag76wFcyLt7+9dWlDPK3aQ2IyrZitWMc0ITWta0YRQzf8mzVx90vJ82qtrFzhanOQIOGgMutZ2
P7898OWioiEJipAthcYHva3z6Y4qhg6oZzShNDxcfyAOPtRdqV/ZtNs7e50WTTrMDdcyBDnz+SiV
Mi1OYVZtiJNbdxIujbm+08ZDomdjMJtGcnzvrAzaZR7xPAgQBHw2s+oz5MtAhhdhq1Jet7oBxDzl
2CuzujwPEHDhQq3hJzPbgjPQqHZdobp1GLdd1Pm6RRE3qG17KndOpgWDeiOXuWlOTa9ec9J6eeXO
z+LKP6cZSEoJdGorqlNVVtIjANKEUb/o8R3/9suJs/hgroLyOw1cNiJgbb0Wd5tCb3079ebqJuni
yQ6TperSgMRY032gGPhSMEMSoMSD4LdXZndJDp4999n9slahYx/+5iAOeY/KzYMmq/m/pZvN30T/
Q0kB303Q+Y2jKTk1RmY5gWopFHIRgG3afYPtaAaVXJPRMZrqHuuGuFOfOmrkFNerHG0lsJrd5CNa
XY6BorpR7E9YEzvBGOWGfTtHmRfdL2NnFwdu1NkKWmucM59LKmlv+qSzNFTgCx1lZ3jfzZcJNW7v
wYsw3/Flr9PZ6xr5n2FMjvhbGku3fDUUUyQ34MaqmmYdXpQoponhc5UbTRFOCqLwuzyuPPN2LCc1
2hl1PEUn1RwwEHDxmh7uaEUYT1PksW5lToVih/SCQSdDyVCCVSrb+gbStWjDqS2Gb2ZrVH/0WpXW
rkG+Og/Sdp7nW5G5YLkTizQ3LIDSvVdWkRcIvybCUxx6gHht3yK7bL1Yi2qqzZk3h2mKJa/ddtpT
vXTqCa+B8kPdAKHwKXlfM+7ZBhjUaFbLS8ZcDwaY3vOznjol13c/NyFhbeKyZs38U6/squZp8OZh
uUbEubxbiJQQiaNyS2OeuPB8vM6ls2tHdRvWaJHZx2pUrObOWHI7DWRd259FkfbdlUrnK3NEWAAx
QR7B1d5zM8cYrBROdgvkeI2nCNnGxlcMsrXUWN6rscZyMjsQhxpXGkSgzaOrR+XMgw45PrN4H9Z+
WH1TI6X0XFZehQuDl/aHty/PVxYUlWULuA7CkCty/nxBc+ity0KtPRQqQESQolDuAks0hbGPYrP1
eHpL65oGwCsr+qJUw3oijgMh7XzQmUaqLlpnCBMXG3dfamq0V7sOCaUUkt2VjOhyhvbLY8R2WZ2K
twIvViFc0rhpDIl7s4+kwRiSw3w4woUbP/Rpci1yeWW8VasJ4icirqztJv6M0gkRNF1fwsHU69iX
OUY+fq/CWfcXkQ80jdo8uoZXvVxRfDHh9fEPMSmsrvMVpYuo4PwzqOFo2eVDNhXZsbBj8bPhlr6S
+L02FEkZ2k2AcWBdbZ53vdU7E3MGPURPXv4olXZCUJ0GfthYRX8lYLkcy1nZs6tKCd1CsO7n0xK1
NvTUaIxwMcb+RFij3YoBK6fRQWrsvQeBcIXgh4IP0RGKL+dDmfWMwogUNrIoWUTa0M93RaOnnxa9
E3tk7Lp3jweSlJtsFTBYNRs3eWY5C3TMTcUOsTVJfEUgtJGn+qHS9U/gWNord9iLtuV5CLHGDuRE
FOlWEtsmk+itUWgKEJUwGdDeC9AVGLIgi6pM+RQNWTSBCYpalXp1SmF80mJ0oifTLOOjouKi91VM
ajkdqP06v95e9nVZN79LR1kH+gLFatpVm41LCS7V+gLVganDliDHoeagK058pVpOu+ZyHMryNMWo
T8JE2go8orDQ8lZ1gl0rQDeVqxjhjY0NgvG5r5OW1mbT2Th3FDiAd8c5AnS1a6HazXQ57Lr6OTpG
tuzTquqdHeIJhvqx61yMEkXhjl/KJXP1p9RNM2PH3qpxf1G1yTqMdubS5qVDoQT0j+zqtuqLCErD
JIv6Rze2anWfGSKKD9xRabmL9c79gCdw4u2j1SjpyaYTfUdXmLtDR61cxbcBcfI7+islVm0I9I23
qWfW2S0BShmWQLnoJxP4KwF+VO5T7ozTL5IzsDRzRTt/l+ruaPo0RaUdgM2IDR8zElw8msmw/rRZ
VLs3IGdzsFPFMuIMETfQTxs3U5adwK4z+5OZGEz8SeNh6U+DMNJoR2PcMMM8Agx4WHrBHa72Sb78
LSv8jB5hMAItFsg15gcDLEX9q81ELo+9mue8MxGXM9r2EeZcHQV5yZMHOWc4ZXC9Y1ze9SoZYx9B
sqy7Iak3q12i5eajUyZ99zhKz342nKKZD3iN08hPESVQDtbkIbwiwHK4SBVUET1I24miXWPk4iM2
eIV3C3oHV566QQMbZ6N4Iv9anK9UoLIqyAh12j3Jp5OfnChtTZwIx7LeR/2oqXddpkbWHn4z0DOB
AgXMDqfOscl0WsNBK7IWXXQoPLV9wMYP+UGga4p2GGBr/UbjVBmDmohWvaPjbsVQRz3cu4p2xilH
dZVl2SuCPtludQb5ZY21Vh9VPau/ztjteGFOHfKbJ1KzJvdPdHE0ci/T9jYWVM3TMkE7unJoXlKa
zdkEvr9WWW1wEhyb8ysx1qZS1xZSnkQaKMrkuix/Sm11H7eQP/4zuSgs72OcP37rIhluDcnnrXFp
sXdzTLcnMKy0dA9Dr3qfzNSIExrDhMWBmZnaV6dXKEdXEXooJ7cYOSxI1XTR0Wu1+b2SD9SAwBIQ
MqKKRsFtW0R05m6JLassQ0PmOWClonm0MaG6kiC+csPQTLVWmgA1C7Di56ultdGQ2k1chZ0JCthe
GrGPqro5GsVVWtFrQzGhNYlfayPbDDvLHQFVd65Cax4LrKmc6cOSatofT7HdKxWSV+5n50XvigBx
Le1t7uc6aYg3bK8OG28079Ek0Q7tWDo3730FaE8gwocuHmRcHtrzteMeGzADzOrQdKLibnLL/CiJ
Vd8duayj8HmId9ea2rqs/1Z7FNNqZyOpw2qS82McNwqwygwMIVqxu/dPyKCytNawuJeMzbLlcadY
uhBNWPVavndzu90REl4LxS4/Dh1MUj4Dghm1zq1nr6egFJRqUx0uU+nwatNrGSJTXIkdLgNaRnFd
IjED0XNgM+fLplCANJtWUjWicXmHYvF8nDWIk3OjD7eCmu7x/WvHOaXmT1eBPzfjRRaoCiB0TZjY
+G5lZWzsK3VorszqtbUzESo2LHUloW43djdnRQ9qYP1CMtnXfQ7Ks3KuYYAuT+pqOIBGPNtOJRlY
f8U/W46nBOh6njS8zb29U53euyk8bQj6pYyuTOiyQMVQVEy5FiiecgedD2V0BtGPHPlM4LWCfBDP
7pAcl1EzfHVRJ0KSwsB+Tfv09td6bYZIMFKfWin8aMidD9tldlpEtt5QF0uSAJFTFYdKvFkJa69t
xNeGorFFuspwK7H3fCilXwZ8BHAztRQLRzREnGkP7Zx8Gndvz+m1Hb/eq2tGBQve2lwUticUcxrz
JsT7+t5BywownuwR0cxzbozoWjp80WYkWeTpQOMX3vqqKry5/vIuUWSrMt4Yp8mdJrvsMXad/kbx
8Ag258LbZT1hpkLW/DwCy38YRYnfJg6136K4yw89uIYgNiDAeXXa+1YUK1cu6BfP4vNYgHYV4pRr
nA5iaAtmm9pJz5QEb8Io78rl4FkpMamXqp4MSBMLwOpqk0QHqwbN7rt1I5Rd01jek2jH+ae7pPbo
C8VpLD8ZzXLcU/62J9+JPS5GqVuIZRVMxPZbbRknf4IS3/k2vpEfZUcGu3PGxEpQ/elKceVTr3tm
Oy9vLf8DA6R4vPVqJjyMOhUwbVij5xS4Yuz3XY4p47s31Aq2QsUIeU/21KYmIIWrOKVVtuEc6d3O
KIT8VCPFg2lDU35H5pQU+v0DcuG4jIljBIWd86MCmHex2sltwxgHB+DFGE8m1WR+1HHz/qslUXQl
Vrw4mtqLwRC0Y+5Sbu3NnV2TVQJJmofQciG++4ZecXUvDXaUgT04xue3Z/ci6nn21Rhlrf+hzffC
wNoc0LJsI7vGKRcFbq1RH2razyNcgjr3wHeZRaX5Ypx1N5DwyZ19Z9dW/gvrxxKN9mi2tROP6uTc
zp2baPtaJKn9bSgRcfPnss7RMm7tBlekWnOiZVd20eCFi4gwpiMVsKUOigIkf307tNkEV7dDN/te
a5SRfCYeNUwTe9F7xyrPtf5EXNyJXTvHHpX1GZiw+mGaqqj9LRRSxj8FppLeU2GUJEOmig7xnS7s
tP84Np3zx9Li4gcl+bX/BUwetTmZpf33hHcTP/vaSD0/w2o32id25jxMIFSyz4Y0k19QANwv5koK
+uDNi2Xd9UuXTXfVRNnxvbc/XBuwKzRcgVNzjtbj9c/7NsFfAfczaGENVmDved3gZxIsH3r81zhg
l1uModD8RTDlRWdzs6UhTbkYDNtamCdZ8qUulHZHCQ+WQW8k2ZWo9+IBWEvpRIioPcFfJPs5n1Y8
zZhTF50WKpNp/eeNnYDi2bnmZzQOxbHQKvPajt5eQ9w/KyAd6btVm3crvqGYnQK6bjFCyfVR76d5
aeV+WdrkQyty7b0C9tx2hCLQCEnq6NRva0+FZGvUZWuFqYzVHWqhrt+og/ANdfr19kkFW3c5MxYS
/xqXFw4V4M3V54rJ8xCEXkIiSEX81LvJGz7a6jwue4picDKieTBE0Gpd3X5uoNs8Lwh8DmEu4QcF
Ixsc/gNVLYxKe+ndtYU5UC0o3LZqHnSQWp7rt0oxLB80+CyLHyMJUnzE3FKWQTHV9l1N/T4FjY/2
4G7RxsT2FUebIWwuKVSJdOwwCIolsgl+ZcbVBC0li5MDwJc53bUsSnHgipn1T8tcCmfnarPrfuzN
ukK9Ie0sA75C7gLTHzKMYTtOWHvHvxXZYVLsafrInR8twdBbcIPUummj78JwxQ+UCWlfxWKxkkPk
DaN61BFQt3/kqvQMwCBeqXzC99C19gpmr/HBshagq1hRpl5Q07HHO3jBT/6uzFz7Zz70eRSM4+Sl
frJM0BIsEu3/1I62HvdE0dlHXIKKcedJS2onzYiHDijBnBBD5FAAtF3i5FmCc1q3glVlpSvRX0gO
munL0prsXVugcXXIjURK7K9n8QVjdMyU4bd5/9Xjoiz3WVllDxWqop+IYvADzpc5E/usV5wfA9U/
6H8RciX+aA1kJ323dqikkO7vdFFnaid9skh/mdVKP7Rsfax7I0X8Rhcryv0a7BFu1qWU2vdYGYdy
r4ust49J0y9u4HVSFUHpZhlkbGxHYFtPtvpM+NF5j5mO6Of9OPdpeXCzpE9OLvpA2UEV6LxjGU+i
OPr6oLX2oyV00e1NpfDwbJakVDA95wRayNvHYYuQWQ8eDT7+AVBGv2xbI4BgXkFBtEk6Km/hIXE7
DIYN4apgALLCptFD7jPjWtHp8jgZuDAEQz0317CHL/nn+QNKs5xCIMppFEd4tc8vOJhvdJWgVIaa
1RvuR0zVhXeTLsQSgdkbanVUwH9ot241yJLgs8GCkwqKNSCwHcfJvkuKaXjEed3Nj5lVRPmxVlRM
lVdJmmZHE84S/qBXFZJaXqF8z6NqNih6Dql3qDB9HYLM7fJn2Q/DM48zrmdO3+bmbii8dArUQVH1
j3VZ1frHLk+Nn3aMuvFBmUVhBWVWjd0Np9aQ92bF84OR/dzOqt8VRQ/qutTq5Epsc/nRaKqqOg0I
CCn8uXl43HxApajJ8CouUyf1Z6tInc8eTcfoNEGuWLDVoeO9k7mqpJimNwjK+H2fW923tzfPRajK
8wrrG6ADeDuIHZsYq4KnF0uz88IJx4Kgo85FR9e8Juey/i3nO4Po/oVrjZ4eVJzN0zd5uNKVreKF
Qzro8wH4KE6Ri4rFrdta6Z1hFka+j4eoda6ErJfLTApJwEpYt/K8t9Swgub/1BRqetvUw0BXXh46
zWkh13YnBl0wV2+LXanKo1V1z2+v7EsL93zS69jUzIjQ3RU8dn4cPDG5PeDC9Fbto4GKrz7UvxVX
TT/ZSYzEQyzV9ikpFfkMnqAabiZXiCpQFLQmsC4qrbuZrul36AVeAVy4GPWdC5y33SO0OY33olc7
eXj7F1/uBZoYqwbOCo0CdLvZk4CfMwyKRXaLSm6PwXo9HVPq81euq8u9QL7i0WpHXhaQ2xb+Ss3C
XGKlzm+XVomm0IPH+KRRc5IHW6qYTZd7b5rmD29P7TL2ouZMig/gBeo9bcbzb2FXnVqNepHe4hXg
7MvJ1r85RqFwD9bJV9OuyvdqYWLlQ9/dgBC40hKNC6RbahlyhJ58qyFVU/kmNzQOrco1Pt0rn+xF
P2QVTV9pYZtQmURYFLM7preVhcja3IPnK+PpGljh8pNR5aaCQB0BdQaC1/PV87LZjRcwCms1fr7R
qnh+HFqn+jC3ffsxzeTwy1K76em9n4wFpBlM3QmwIKLs54PSCDB7PYrzWzdLm6OsYu3ZRffqt6fU
2q4cKu1KeH65lIjUIUitrZhg+AZrqvBP1tERPbU9zfRbEF+VLxeKn4SZefD2rNa/5fxSOB9l3aj/
jJJqJr0hQIi3qjTFow3GHWl0fNFbMF+Pbw91QUkFfojpK/+HcBw11m0FSIxJly72nN2Oedv8Zye9
x5Mqusqiv7b06U2DXXx0sCs6VPslMUW9t+1WKp8pLKVuEBU6G6mQ3oRfU5YDRc9jZ3iy7Kr6ITsv
+8uVbiAfMdMONFqzbfaF2tczIDYkAx6on41AaQZNaYI5q/vY71ozz4K8iGIHcBu9pV2pKa2xx2O7
/KlU/dJ+7IcxiX/HOKhHfqRk/RNGaFPyQNH+qkvexXegsGitEn7U0dGdvtAa0UYTCJkQYUNIsrME
uhdt3+j7qrKT937yl6FeHA5hs9DzOv/k9H5z/NZiEba2dFBZNYk/I/EzJ34+vv3FL9KidSQec1BT
tMKoDp+PlEorMb0SwkSLw5EPllc8205s3ZiJru2meu4hg4zjrTt7zZX79eLwvIxMGR+REaIIezPH
HM16d6xYzsnq3BtOmHrswPleec1fG4WGASJWOFOs7cPz+WGZB+V0yZWTG9fdQ+VOw31UJs57n0Hm
QnEdAeD1NeR/56Ms4B8V0MfKCb1p+VCXU3WbddY1VNYrc7HoEHDPrK8ggLfzUaBQER6nPUo/2AY4
R1nW1QcdPI998/aeuLi7AebCiadFpdFSg+N0Pg7aGSOKHEkcKrY6/EB63/2Os0GHp0E/zc7nsczb
4bhYaXTtnX/lhIGyYUwYl/yxxZeSka6knkiBgNesMDMpKmzm84aSQON58spl99py6hQliS05zCSr
m2mm5LETKNOw7RxvONAq08udVdpcOW+v52sDUdxArg2FIpUb5HygKkpFnkURA3mYaSN80t7Qak6e
3j8KxeMXjspaTtlMB7onisH5GIe9o/z1aj3Zp3p0jYn0ynVBz/L/BnE3x4n7HQYe6FyuC3v+nnst
hTYr6ocbaM/iZy07I6g1O+WKNMnk3z/BFWRFQAF58qLbrNKZGHq3BDJctd7B4UX0a9zBr2RZr21+
LgzoFKgYwYrZXIgx0h5DLRoRas7cHsqh7Hd19cmqH9CtNw8ZgfCVab2y6W0UCFfKKUYvMFbOdwft
JQwvLVWGemSaPz2jwXd1muxF39PgmK8ZQrzyAYlnKVuvOHXq8ete/SeYaKYYYpbnynCWVL7GBekP
fDCr3ZB59G/URLuJKNt+TRKRxFcm+sox4NJCJxavF9D/F9y8QqlbLUWrC5LDeIOKA6mL9T/OzmtH
bpxr11ckQDmcqlK37LbdzvaJMGOPlSMlKlz9/6g3sOFSCSX0ZwyMOTKLFLm4uNYbqmjnVG8sJ3ZO
JJz0vGEvrFv4DTKMXZpAPINYqV1Ua/xlABw71W3ivn4+QPWQiIUQQyllDbRoYq0f+slJg9Hrm3dZ
Xao/wSOlO8H45QdfpX/4OC+0v6X5DWhrfU+OHbFyqtIUNpOj4AcB32yIT8JaOhuj66CURAyn8TVH
hmJFB9kp00jmBOyd3ueojHicN4M49rpN6W2OB2Q3jdSlsKSjK6YeW7P2tDdVHXfdMew7OkAquJ+v
leuVf/qikVBuvMT8MgOOMp/SVklMf8aGeG4PkUwt+xNcdrLAIpOWfrY9q+0e7MLImw9lNhvf4kgF
1n8/DNy8y7hg4SAAgabBgGXAKh0G1s9NHA1YrOJHilaOmI4Cn0F/UtR3SV/s8Qtv9xOpB+ZLJA/U
I+CGXx+YOqZjkiKrEogSroCaokuDqWHuw9nfw4XcHhCGQm2NriIOTLw5r4eCyBg2bQ3LSqLVem6t
PLrUVfn7/vLdxjeaFx6KDuAc2btrAdbWrOwwV1BBnQo3OZneIH4Mupu/rYpKO6IDO7zLYrmn/Phi
5nS9idm/lPcWZAAX4Zpk3JnZ1FDXgOsgsty2/WxQIvFOX+Apj0pSijT2M3PwvHfaqMfFBxSyahOo
oSVQUChVNYw/41Qq1a9Kqmfzj7KSylObzaXuj+ze5EC5u/1smnJ6W41wCyFLuSh2RaIshT/UoY6y
kVnC9lMrkX3PKmRufYEisbzEkVLsPX1vQyy0/kVGgOoYSKJ14aBuB5JEu20DSzq15cdu1b2Z9Fh9
7qNu+qrKur90XToPb4p4EsZOuLgF2JKJcjQwnKNmoRE7rjeRpmdTbqSSFq+JGNtxcExBu8iYFftj
nXp99qVP8lq8bbLGrT6y9FP0qPVZ+R+A7tj4Zjdi0g9qQgn24/19d7u5F6cvKObkP1Qv1+mJR8bq
da4ogt6gXqNPYn6voevw5/4ot6cVVpkHcpqGM52ztXVJ4sgE/BZcTmcCwu/XQEaTwxjxqH2Afjrv
eVXcxqIFm4HWNBzdhbm3Wmz0XnRjDjlMWAfX5cl0Fdo9FvDZ+jDH9vjNygzr1/0Zbg7JZ7XZXESl
NebOrfN29NCADlpcvQ7doNqnRrjyXJW1e2rSbM/8aHO8RaII7BCX6pokaGOVUCAHRlAah7A+p0Mc
ftWzsnim8csVk7S0UXYu1o0hqd3g3Q6zngO0TjKrVtV45yR1AEJaPChx2x50o40fsFNvjxmiOzv5
+camgaGOpg55A+jXtVYKQma1aNy4Dswpa8+alk9PQ9Y6bwRCdnvHc3kJXgfChcxKcOcokFyufYvp
zJmjavcgDPUIhEnaW5MDq8C1v0yIp/ZBKmr3Q2cO1Qdg+fQ8soJte7C6zizOiWGgsWg5opswvhND
ebq/tW6vBtaAzhCII8oB0PyuQ0chRJZRai0Dtyl6ZHmNkyjS5j8KXMVhbCnGHPtB1Dv59tbi/z3o
Ejf+SkhRhhVzF8KCU/G2Oou88I5aGaG8qWrV//CdST7dFyVVSoTLT/lrqAlhfQOuDFR3s9TOJfdF
oKtFf8Q+fU/35KUkvf7O5PQUc6mrQHdYT4tmF+gWrQxC1NUT31EVZCMjIxzecX5Z3BbLncrXey/8
M8nKHd/q8xT9oH5ptn6Y5+lrtZC9RRGDTh8JzNKyWSerSjx4jRZC86/RivSVjira3CWv9UNmFFBC
i6AdTHGwmqsMplOMIUYuvAxmkWE0apkCsKbTXO7v040tQwqhLstLAkMUvP6O9mDOyqA04KgjoTyg
cz0T+Mo56EPi7v2hNm6tpSJBSknOopJ2Xg9FV3iWsWlD/6atD0yhxpK7zq1XSgUsywabl7oOOncL
gvF6FMhRQqBigWDB0CDCr9TGu37OxPH+XGDR8e+sNiXFcVpaIFdod6/r44UnnRBI8BBgTpXPPxIg
7vNPA7qDeGsUUZlXh1nh+v6ei0wp6PgmdSNOrpx1eSgnLEE/qbOGgRqmNqM82UncKnRaMZp8bAdl
0v8UWW18BQRQpReqbTjM62mmagejt5roMKex8Vk1c14tAiSJ+8RjPkXN1R4bzT21VgOYqMNTwX6I
y1Fr37QWb3ufgkkpUOQiXXlvK+1cJb6VaokT+aIB7pn6okyV+DI5eqQd8wlt1WPlSrOCyFLms+9I
q83BAYqukz/VSk7OQ291RRkkSq4mBx3F7PpiWoMkxIay6yHjxU1xmGQEBiLMgazWUtfij7IsnOrU
kUh6vqEJK3qncTf1hzJNp/xjFAHRKn05Jnrip6o+yjPasrbEOyQ0y4eyyR37V1nrUw9rzJ3qRxQ0
S/NjgdgYaGkavc6v1FIjO3DSSi1O8DCS8Dezba2DIdzQBi8SGioV+FIitJ30HpJhM1K555qv9WRO
kYi+u41d/wiHWVCUzhpESFvK5s0F29Th50Rptz5aXm+b/ji0+JM7iak0D7Gp9MmzM6HkiqQjfpCt
b2DJl1+Qg9S/RXKEZe3bSZ1O/RHh3E7/DY2YqIUuG5KsQubO576fPQvN3RYMS9mij5IlJX50btE7
eGHEtsCBHfu3vHiaO97sl1ANC93XqnlszkaoNsox68PE+ToO3O3+YBtifgb72TisFAJOB9Cck/aj
Maji+tK0kp+zkZQ65CBp1ickeFzn26SX/cdczdGX6bJWzE+eGov80qH9MZ5wX+Wm9J2+hTvtj02X
do9pVCndw6jVEmlnxyNSQfdk0/k1cILCN8jlhjNWd/rvwbDn6Ov9U7gRURYxAsqqS4vqpotvsm2L
MlNqLoYUhX4xS5Seo6rxdpKojSDJOGBJF7Q3df1VTPFQ0i2xp2yCfMxgRCPfjUTy1EMW8qmR1HvI
0o1p0bXkhQyrD1DJ+tED4WTQ8UFsAqhqzVGNm/CLDiNnh0N747tLpKQqR1mHBBGHvTVa3qxDe4xt
ZCuBa3jhM/iY7gfwcu1jDrCt+yeiIze/J5Mt5oepLnF8rFKvYcvKsnetx9pIrexpmty0OXg1DeWg
5TbsDkrn6N+Q8dPFu24apvQQtXjlHu3ELBoeQ2H4XxLJHHXyRjHSz1Y3q/F7drzRPaXzbPePbQJg
0x8tCRFVVTo0UREKcJNjBUeheLy/f5Yy7iqGL1bQyw5C/uFGdFLrNK+1zQnwuVnri1I4ElBp5NIS
tACiK5mKGGxhgz9SYwMam6XYv+//gJdPuf4F1A9gRfDqAfu62lkWxIhpcR0IkHWwreM4e/X7UChp
4edtiOtyH2eeepj02nrr2ko6v+nLuW6Phpx0za+yguag4yqtweM7KtODrXRhfyrMVNgHVOqa+NKH
bfKzb8b5fQHcfE8daOMStA10d7nVEUYEUHN92eYqzliDJNsfwRz5TSWPFZJih0i0b8l2rZ1cZSOn
plnDtoWwojHuKlfJUOfVEFtGmcqZW99iVx9rNOxnWjfmPL/hIO201ZYn5/rrkOGBfQbiRdFqmf5f
SS6vg7hK+oz4kk3qk270JVxF0SFznzcPuI2pwZTNLsi4zt7ZmRshAFsfJFcwSKB9vG4bKdKOEKvL
a6ZKvTFHTfHYhN0eX2YzrkGWodVGK/YWMVYaI0riYR0YVSkPisAjci5b5eiq6bgTQrcmhNcFhXnM
iijMr5ZS9GZE/Z+hIjccGt9IQ+1SZqbc+WIbG5K3IMIlKA0ZFORWjZsRKi6KbVYd9HH4BEGj/N6b
7n8GmmaP5phFx/vH93ZSkGMoHuh8I57Y65KFm9YpCnyO4D3f5o85WNWnURfTTt58O6ely0B5HBQT
DbY1c6WJTIB5qK4E5ZiF/y4y5UBo7Lx+p4VmqB6M0Ot/3p/XbVxcThfHDO4jpa91XVNqqIQP2dgH
qiya8dSbTT88lK0szJPM8ijywQs4zUPlOIRIS7hGf8iUPgw/3/8Zt+edMj1z5lkCLMpaO/S2qj6p
kdp2gSxT3ERz1XwHulg/UIt7UadLfsShPe2cvK3VXgTWuOYpHKP3cH3mI0+XYdRrHeSRIZ2CJlV7
cGpeqkQ+fq1D9ACCtN4zPn7JIK4jzcKWXyjzeF6BGF+VCxpgTH0GiSbgJo2Vj17St8oXBCn6/gNE
Ihl9rrw5noCgldSoYCTjbj9rvaJ20FvAZB5yzexnqgxF/RPgs5d+T/QWwHKLu2v0Yeg7273wnDR/
qmEXJbB2KAp/SUypeEdrqPPxnRJOSbtTn9k4HaDvkMPmnJHOrGVIwkbxZolvReBaWFvYQz5/KKle
7JzB2xi9lJpA1wOOYqe8VMv/itEdFG0cg/o+aHh6HUsyhuYQkvhIXxVG8s0qxvwcIfT0po+d7PVt
VAbnEYjbG9U1pBiuN4u0h64fFdEHM0D4S0nRx7cdNKTun4ONhaR7CiQC+ApvzvU1NCcKraKYUexc
MQNj1Ipvat2bO/ng7WWwlNIXZVtUvhZ29fVc3NGLqjK2WMgynb4athyfeB3qD0aFP8T/MCGb4/UC
l+HBfj1UTKwYdGH2gYRviqwBhLPGyPXz/zAKJcil9AmPdl2KFCjaxYURy4A0VB6j2hhQr632KgGb
HwcsJThesN/Ua67norP59DSuZYD8tndOtUlc8BqYf9yfy9bHWZp0LjcbAKMb2EOrtWncuTKYi1Y8
d1JPuLOdCvSYpewUUG6HotwEo41+IPg/WJnXEwr7yhFzOhD8e618LEw3+xUKHcoE7bud23pzKNDB
eE0tnca18i/s0kh6AlwUz4LfDi1gP7YaagNS2XMIvf1KcD4ppb3sOCC2q68EcGrqKjNZBINQ5piU
Kvc9NEpO97/S7d3x/5BfAMpJiG9ECSJ9DFM8VIag7/V+PhY0Vi7wLCr1OYn4tLyTGjM93h/z9pIk
o4ZRvXRwF6jz6r4Cbw/pIGdMVwj7w2TLye/LZjFO0bPANuzkrLjV3tHamCioKRSDUBEno1v30XHx
QM0Dhn+gGh1wxhjR3hxXj+fYtZu3YaXv+RtubBSew+jSLqKZSBGvJmk7E4QO6Q6B0sNg6W28lbyw
is5pK71X31q8vHkZ8+CnfE9EvN7+GaojEK2KMRCuXj3AYRgfYZDuYX+2FhCqhk3XHa0gdV2ltEwJ
/yGLx6CpOrvCLyTDPafq9WQKEt3pvxRzrr8eY7Fw36hkQrcjmVx330tJu9dOGwScMxC2IWxKRGuy
3Mx2rqutjwX4hmONzhOTW32s0axS9Ou7MQiNqg2yyNYvpYGWPYpBzc7m31hGsibKJOYiWkXD6fpj
2RMNj7D21EDUmvUQTzI7xsKtDwnB8SyNst8Zb2Nq1IEIjeDLQXyvG3i9Val2i9BnoOKz8GfCBQsJ
wdAq3/AAsHbu4625IZFlmQuviNL88lv+SmxEJaKGXaEFY1MpJ7fEu7sw8+J9NaOg34S7Ism3gYQG
ABUuEGGw+vQ12CeP865RCtpmeuZa71RqnkeNfON7mRXVYwjo9GM+oR90P3rdxuWlGYq7Am9dc5Fn
v55kNYJ9ww5qCEi61ZOWqoof4WFxfvUoPOAX2Ct5NLniCoQJ/SWdswKjWrOZ2+mB7hDSEwiGNPLV
r1zQICiAMQaAEIqx19PpbJw1ipZj3Ro9HDDNDj/MitK+VpUGlBSrRuOfxqJKs/V6FHy5zLTAKC2o
XXIaXvDmMUSo2a8q87XC7NwpQNgpE4IrhsC4zqGoSWkxPOMx6ICv+7AiS3xntPzg2HH9P6wdGA+X
8Lsoda+7uXlFBXrs1DGYYZf7fahkaEE4e9fl7QleargMQuJOQr1GCJZC1WYxoWLPdlfwtxw0X0nk
eLFxkDjd33VbQ8HWh85O7kGBerXrBtfKTadu5qB2XLq+ZB5x70PeGLKLBP/4+9WjmUA10AJe5Cyh
ilxvCk/HPozlUqlVeUiNTXZxFMPgnrFrfK2cOpsCWBUK8YQL8CFrgrios0YM2aAGbRt5Rx3byAPq
VtXrlw/gMmeIe5KX1Rp80yEWPdbY8gBxLOsDfXa0cYtwvhiZsifveBOF6OXyPlgqObwW9DVTWzcg
heBd5gQuZep/xzHpjvWQZB/vf6HbUWCBEFpBFXPhc+1ff6FoMLO4blHIbEfRXqj7z09uV8M+vD/M
zbYzcKQjlEJnXsDf66R66HM3H5SMUsKCZykSD29Qo8Ekx5r2NsLNFcVRcnh50wjn/0BJXc+oN4qx
lZYngz4V4WdbZv2xy2ftMql5dxai2gPT306No4u8KM13cE9oxlyPB7cf+YlcGwIazMqDMempP/R1
fB41sXOatmbGe4RnyaKrzbm6HmlqoAFmljoEKWbUJ1patAmTsTrXWlV/M+Nq70X8Uim4KgAtUYlk
aZGepx2/nprTq3PkUOwNwi6ODjFs8DdOgVBdX4XVWxes14+sn6w3aNp5sKp170IndLjMQOaCVMdD
cDJK862hTnun8CYrYJVxykDRUuNbW86qMBUnTl/1hjIGuVNN/mwa83GsuupdXBfDoUVx7ZOTdXvs
3FvqFJUwblAD/BCuIPRmrpd/rK2mgQymBz21ee9jmPZT8Tk3oOZ+qiooUD8idzbzM8hqU3+ibjGh
8NI1rngzxOg/n0TYWSEWPC1Jtdea2nsPMTrzAN7KnOlmF3jKDnodhb86yq2uT5UzV/6zlcjKMyxF
RxUqfZEW7SEeROI9dEnmNqcej+DybY8xi/dtCqs6PZIDV8LnuZcr/9ZIV8d+0nDajij8xJGP48Rk
yGNDdSo8VBRJ29eWBFgd8Brg85aTcEOhosZeSNIZI3CRAFUBD+i8hxKsg0ejTMVOULndBgwGEhzC
Fq91ni3XHyTMHWFks7NoXXv2P0bnNtHHph3M8qhHllFeWtMK84Cu5bRH1Lmp7zFN3kkgOchAKH+t
UvzGKr0onbDTSFvX9A0vEw845QJl6/v2SfRoYB6sphanKrPDj/cj6W3AZqLgbHlaw+li6teTRgi4
GF2zNoIKyZADrFn5WNjVtEN8vA01jIJaFG4o4OwZ7XoUvZ7HXA8TM4gjfUp9r7Kz9jMVz9pjNHjq
SNcUw7iTQm58TzyQAP1i7kGxYl1StBT0SKeBQXkKTv1httH8otmolOah1kelO+SI2USg9og/j/dX
9Xa+RG/MziktvXh5rD5oDZhltgbTDMBr2caxrdJqosOJr8ApLuMi9M02atrj/UFvbw4gQQvjkCLx
4v6z+pSe2wPMgAYOrslzH0VkMgyc/se0cPeUKW837NJV5z3DS9sEpb+6pAxrTNqGbgYKm7geG3r4
vsnrL8OMhr8p4y9Cwcm5kubOLrrdq5TZF/UHEkCecWs39UXCY0gNcC+TDdQjxePoKPtEvBZgSEEE
vMCiibmIBK35/HiaqbDWkJgYHFccxtqILp0ZWX6NVOnOF7vl7/OKIo3BFuolqV3D3IWpg36rWzco
1Kho/nQT74NDBuQKyAq9bucC+DkMz0VUJM4xbCNDQ+OcdgSaLFZhXcY06usn2wh1vMh7qiwPpRGS
qRLFRZUjrVJjAdZZbZntUQ+WvXR9lS+VHeIlFSRgzOvu2Zh6cV40pReA8xJjkKmDBbcCdmh2zAdb
S96Ubq21Bxxz8bJxFYynTqIvoy/3d/zthiBiIoyKAtHC11x/qgGBIwdKVxikatV/jbIaDT8YKZ/v
j3ILkV+QiYAg6SGz5bmsr6OX5g7hAtEOA2RlOVRAx7DctqwcZ6JCUg59wD8CQdzMWuAfQ4lv5Qe3
N1DvmUB4yUelb+Wj3mbKXmVoY/ou5V7smCzAeXAlrn9XVeD7MSPvEBRTBCKBN7NX+0NTDK8G6ywc
jEXaACTyUi5fHfduqpKoxlb3DZKw2UEbRX9RGoRe7q/zTdDkDMBbWpAWlGaoMFxPJxryCquSmsIC
reD3XhOLhxoC8zvNKbo3uN13e6YMN1GMAdEmAVlFJ4j3xGpa5LnKXCqUI82h957iDk+fC6pVdeVP
SYfadeWU2R+znSd0gNhcO3Hm5uvRUgeyzo3P91sYfdfTRVE4C5UKfAVm76TfJV1ZNFq8rNxJazaW
lZuIvHaRgkGodnX3VmWR0V3Nqed18aycc90Mha+nsnpCby42zpYRj3v3wy2cGYlShLposb9089Z1
WPRCseye0PUfh3SUh7ZMm+xUyth7drXR0XzX7aM/OZ57wPTA3B2BRdaujwV1+i2mHx8e72+tjbVe
mF84/rr0r7CZu17rTNSxU5BpBoYt4CBYMn4MY6t+uD/Ksl+ugiKTRpN1QRoTg7GXux5lVCQ8TFFq
gQhF9tDViH+0SegFGttvZ/NsbF2K6gtrBVQud8jq6IflLAo69VowjKo8JnbqIKZiIUmtjMXBLB3j
GGrq9L61oz2C/NYkQQnCBoXdwdCrLCO1ByPy2haJOWSVnoD9Tu8XFtqv0h7ka+97CFE8FklnALss
ijHX61l0kwDhq2lBC4b1AfyA86DnZb5DAN3YG3TW6RJRfl6I7KuikoJkSsMzhvOR1vUlafV/LREa
Oxtw43ux64gzS/2FBt3qeyUicqpE4bEX2VI/RUKv34BsBftmdLbwp0x3PuU4Bp3KSIw7YXVzaFLg
RQNgMSpY7X1sZwolNCJ9AXjlH+oCSXc7K7Qvc2/LbyruSJgbeSHIYXtP+XAj8uD/tGjGgLyiAr46
D2FrdckQzlpQhqZ8ihIRn2XXJT8QoMbbdW5e6xrI7cwzHqQFVXCoims/IUBgmrbo1qPM72jPhdL0
R3VuUpwXJVjB+2d9a9csVXB2DB1J5CKu92bTRSqlV9xEIkxLjmmRxecqJvu5P8qLIswqpFCvM6iv
wg/kll9dUWIKbaDMph7YYfVmREQlr5VHI1beqmr0pVCskyqd/xrD/NDH3j9a6/oYZJx6y4DeWurO
Ibb38Ilb8wYHRh2RTiWvqvUP0kbc0cpUp2PTlQe7C7M3BVTeh/vz3ggyXItLYYSXOGW+VSqg1Gnc
z3WDrGRaFJ/6LMqCKE2s09zOe/CWrU26UPFAzbPQNy5sqtr0TeowlAqL/18qVDIw4tn+EsZh+piF
XvfapyGdPGA8JJPET0LO6jjmoaKas5uZgSj64j0F+uzooUB4qBQ1PKt247w+iC7FLcpa6IxCP1/F
ay1ttQhrOz3AuXnG/dXQj4lqvlqAhlkBEAGlRMOQt+/qg7V2PydwHijUOIpA2VRLj7OOLjKaTnsi
1xs7EHF6cOoq/y3n/frk1boRQjPDWycWZfNxcKLooXaHaidqasvlsjp5NDVAdBEzeZ/ddDZkM5h5
pBpBNHfehX5ECHmyDN9PxSRLH7hg1yJ/Y8S+UsHfyGQfngYdH477B2Fjd3IAyCe4cYlea1W7uaVm
WlVoa+YjTyEqpSIMFFgcwHwGD2dSM92TY99aXhRxTWIOmuU33bBxMlqtQmIUVGA4Ha3U1Q9l3c3n
+/Naktv16oJVWYrcvN1u1Nel09apoUdmYFnDb7tWPjeT9URP4pnr/pObTM/3h3t5j67Ge0Fx8JAB
7Mxj7nrTOEWhG1NUW2ARkKu8IDglk0feT/Nw7ChmxMd8TtGad8asfuTlFqmXIcK375DNbV3+suK0
sB8Vt2+f60ha5icAd4l7DEeZKAetVgz34iiD876D87RkscmI20Rp53rQKWqu/5R5ilARyXKfPIkp
yTw8Fw3vs2XPU32o45zMSeD82j2Gs65mlykWFvQARbrFA7x/2flQ1xP53WgmE/8bIRWFOB/O1TEe
hfm9HvLcPY262rlHo1VMYJMwmmDDIj7uHvWWp4GfKqjE+qYT62hsjU74lS/f/dKKfIyOWVOk8ckI
U9QZSWxR0xpq6lbnHMRN7k9hVnxynVD/PVGDHg5SN6fiOGJQw9NBDZXvdg099b2l1pH+VMWFCPTI
qctD35jt13gKw/pgxGrv+mj2GvlDwzvlR62oVCTsrjBjfyJOwn/SlOx3rkqZXYZk1H/JEM7YAcZQ
6xG4BtRXi8LLfka5B8uz0YtCPWLB1js7x21j89tg/ElWFl3jm7oWPVusbQrkjDsJsrSsHYA/gz0f
7+/GrVEWTgprTE30JhmsSqr73sDmjxTd8tUJWrRiTns6MVujcFOTefFm52GyCskS+IQzAyUKWtHH
R0OOzmkM5Z63wdYo4A55VJFdLiIq1wdr4GbxXCVkLpYqP89qNnwvZBad7q/Yi1bp+vwu7BFsBvks
N/FipLzY4jFEbbM0kVeelubYU8UrhcI1Qib6Ec8zgDHCjkll5x4Vy2OK1+FvDDSFcdRSJxdfnFrv
f6vUaNK9X7dxV8CPJGoufVwVkM71IsRTBaQqBLdqo037rbRa7eOUKo6D2ohl4GeaCtVfhIr+ndoh
O9OTmwJaDXsP/a1PgQQcOPpFV+yGQtzZBbkMYreB3hbaO8j38U+0BqydcsJGakZvEkU7tCIoXKxR
3LNrKpRMSAAJO7+mNIwukrN/yHvZ7yzrxnwQUKHiBDdkQcWtMhdIBwBMmlAP4nGAkGaV7qFQHLFz
E22N4nISOSeQezgs199OWlZWEnD1IOk1cIQF3LehIlzd38Ab9x2w1v8/yi24b0D5tx30oKgG+VRn
hf0JhpnuF0Myv9EaUX/OZbX36Nycmgn1inzJI4NYvVH6KJuLWBRMrXJ7XxHe+NCUjrWzgBsbAiAo
ULElY6DosYozkRJ3pl6NRpCGln4cIu+7qk7GMamyeGcRl2O0CgKoTVIQcGxe6uy+60+FS1tqtwDX
YIsDxlSa3J5O3eRm4ixFmb23G+VTGc/tm7QNzW/3v9/GUjI0s2PHs0fWu8RweczmdAGDlgf0KSeE
n7BL2CtI3lLlluIAk0OogwyMmuT1DBtlSsfKy80gj9oPoaX9kYWrQJPrz65i/eslyTFVvjmN8o5g
+GmmHYqSjf7sghbxSbKONGArP+qHj4mYnrvWng/avHf+t1aCCxI0BEoFC6vv+icatEIcfWIlaGfh
TTzN7jlK8VO7v95bBUTq+fxT1iKYxSyuhyFnpP3k9WYQQqcHLGBWDfrFcjbfJwPG0GdkPaP+bWEP
Zf6kzxm1U01HyOZs0mvUSIYyZ+/htjVxnk8QIYj0QNSXVP0vrCLYemSSYXEGRY/xMy4exUlN3T0x
oM1RFvlJqoj4A67hJiOVqI75mUFjjd250qV5TmTT/g/bmUI+YEhELnn3LuHqr7kk8zDFqEaYlGdz
eWpUu7zYmLvvnNfbyACZY0HYA9VhPuun7iAbekhVbQZmr0Zn6cKr9RKtO9dV9/plW4YCWkIplFbF
mtE0IZOfG6LiBlYjC1J9mwzfnXiXC7M1I9A5YLWobi8kzet1kzLvE8Ug1hmWmaLSkVKRiTLLI38N
q503y9ZYEAlpEYCZ0aj9XI8FyRT8uc1+Q8k7ejs2hjiYg6sEU1t5O6ft9nYiTyR/c+lEmpTJV4et
71HtHxXLCqoB/3UrMqv3pdmVFwBK7r8JKGq/kZ26swdfKg/X4ZxRoWGghkTNgE7y9QSTois1R6gW
qSMvs/czJfr/0sQra/tYxTUu5A0Ph5j3mV4/64g0zKcwb8X3AZiwPExCl62v4pzzHKIOkYLyHgYU
ATB3gKUoF0Yzj6i+Plt11X8Ivbj6J22Rjjj0ppnPhwyW0OwbhRc9t1WVPFuxpX2hiNq2vi7S8HPd
4+3p64pMlctOZFsWcz1tfBT4rvBBllb2atpIUySW8OwA3nfo08c1Hlri/iELiShmp/EgS+2PQqbG
Qx5i54NnBdYYY5IUbzHOq473f85tvOFXkCEslxuw4XU6p+B9afflaONO00ZH/EkdmGWTu/Ou2tpg
5IxQDmica966jKn3OIZkrW4HZqKMP8ZBFwecMYqHUCRJMEMt9qWsvR2G58bU6K7RGIYSAPxj3amQ
mt4bVp8glySiHxo2IM+tLO3v99dv48omWEMsBu+4JKlrKKIlpOnOQoZBGUVW+0N1FB2avYf8fOrn
DrYA8ygRsIuixNUvXNlmFLQ5hrc+ori5EIem0LPE9yJ6zJ+xUa8+uFWjZ49OGuYDpHzbSoMkmcso
SPsyd3zkFwtjZ0tuRBquAKoi8FC5ctYohHEcSv5EDpKFQ3VEeg5Pkg6OUoWOxuuvBJZrsdpa2nE3
LYF5LueMU+iQbef2uQk9cVSKSrlkdd/tDLXx+cGpMymA98Sptf1FI3OJFcLErEB9oT7T0tytnL2U
bWsUKkpLfY75kBZcn+ZOlZ4ejaUbKLMFEsbA80Xqc7gToDdGoXLFbcmDiF7VS7Hyr/taL0Red/GC
n6JRde7sZLyA29pjxW2NQtdEh8BOp4hG5vVcptozkzQBtVS6Pb62yJQ+1NW4ZwFxm8UvcEtuaj4L
1+ja73EyM4q7HFzK7AWFVDX7YsbTg2PMkMni5JiE9ok+9Z/7x3QJqqugCzKKPg04QoQO1pD42rGR
k/cyK3CI7BxPJX7OOMvf3bbU0JWI+Wz3B9xYS/IDsD3wdqBJrCmTUhbgk1KpBKilJ4faNNJjIuxi
5+TejoJk7YIegDoPZmKtbAWhBER3PzuBgUTJ2Yv6AuoshbPXzgV6hEV1gyyE5sX6i7WWcDqSay+I
KJ4+h9WonxNIE68fBTomidPCuIOetroXZStHfQqp9zlLfbIH//iPndEcffVc4MnyZQBcAPZdgwKT
FE0zAQIlAA4QPY+9M57zOcu+/A+jYAu/gCqXGa2iwtBaE3pPaRh0oq8fZhdboZiH6qtbO3RdiGwU
jnmQkcpfn1cygqhGRjsMZqjV/jiDWx6ics9m5PbogDGANg2IBBYavJXrUeyp67ymdzyIlomZBOrQ
Gh/qKDKeJtA12tmcPO/Tq1cPVMPywKfKxDt49QpGMgMrNSqxAbg19zFUM3m0G2NvV9/eegBUaI3B
JAAlqq7RU1hE9TLJizCI50ohZZzSs5zqLBj0dM9lcuOYkmXxBIJBvbAG190Hz2gq18zCIMTe7Tft
xuRdXTXuDt51cxSaxNDU2Nk87q4/lBd61Tw4TYhIYdPhfBE3DypyRZ/vf5zNZaNWttStaXGvO32p
G+MKWjMKTnbhSdWj+Gwlc/40LPXX1w8FgAD03XKUCAvXE4p1r6iMrgv5JI04aLp0D2XoYK3c5XtQ
ha21IyzwcHwpAq5LS1Ynhq5Waa6VeNa/c+chOc96sqelsrV29LwolXOS+Hu1D7JG6+JBIVeMQ6d+
iCqPuye2MSobyv7x/tptTYjYAECBVAtd29VmkJauQJKdwiBDnA8Ae2KdnVz2r4/ZmPVwXS90cxwY
VhFIjbBkdBODnmQ8Z1+zcvwCulnfSbG3AhDyVcvtw7LxWrneBlIxiyRvkjBoakO50KfL3mlVnPiJ
VItPjjqXD69fOgov3GDsb/qFy9L+lWzFiA7WAnBe0Nlp9Uk6sfFEmNhz6dn6QPB7QJbCMV+Apdej
2GB5ZYoLakA5YzzNOPYEpjl7H+/PZWvHOfRmaJajFglg63oUPLzpS4ohDAypJccIh+unyEQEs8F4
9nx/qM0JIYOyNI1fGtbXQ5lthRKux1AAw/V/qqqd3iTgmvbWbXNGfw2zCgotNlVp0c0EharTn9TE
eq9UXnypFayk709oa99xgJZGIHkJe/x6QpEWInsk9DDo/4+z81qS21i69RMhAt7cos0YzAyNSJHU
DUKktuBdwePp/6/mXBw2GtGIlqTY+4IKZVchKysrc+Vabfd1MJz0IVKm0RfV0J0gY8392+a2FgZl
KIeIpiAsGCuHmGc0VKzC5DbPTOdL22fNt4oZn/wYooi1szS5SZfpsJRRheGV1wSsgutJrA7CNcbM
hihYHEucZiqav1qrD38W6VSacoU8TKfBgYbz9ho3fARiLAYqCenAUdaIvmFcGD8aBpgrYRs8lQSv
j93kGL/utkIVnTsDZC0j12vEq6V0Ra6BiH6O4wVdNAoSp6Sr9PvXIotljNpKfmBqj5fuMTYipDLD
WjR4qmQwGl+jRk12gJ4bOwb4xAE1iJQPpU3j0oozRbXbItnzHC7pgOzppJ5s4XT3n13kc0AoEiPg
T1iTP1pz3WQVtYFnmBCnwI2RwwhhNt1hXdlaC10iYJaMVvD3aseSJY2STmuc52IxB78a3fDUWbuo
7utzBNkb7wgOLBumrt9EHnSPtoY0Nmj9BT3GsvJe6c+6pzzu1LsvWf77zFiDDiJT5TtdfhwUXvJc
UWtkUZ3JOKotlB3c/tXOtm0tiElZIiuMFtyCq3S4rXUr9wysoLLr+jFsKAdvQDm0Qqx6x6ev4wJL
kUkdB+ed8PByQcqkjLoe49Nz737rM+V5iJt/Iqd/LWZOUjG3OyW6zaVJ8jM6lNRp1t6tdAiRLBNL
i0tVP0zuOPzhNrr1khudc7wdFPZMSef87VavNXjFskweJEWdv0z6iPB64ZYPbR4nO6u6vjhwbuRX
GJkAcHeF7NeaZimKzLFh+bc+WY74B97p71Hrtj5gon9uL+v6TElbIDzkFDSX/Co+FHbueELW7hLF
a3wQReLUt8te3N7YPPpEMosAjUPyunLBvp88xTMn57liCH45wBdsHYZxqvQjVUx351RtGSMmkyWQ
UaK3tcpZIBR20zaynecomnJfAdzk5/nyC6Vq4+6wRx8Zh+c74e/UNi59Aj5lT4yx7j7PlKQPau4M
Z0HveudQbXwiUMJy5yhA8UpfRQnRIF3UxIv7DGrfO8xwuR0VUf3vbj+gIcVlJAkfeNSu/IDLfkxy
nVqAJjrF76queMwrfU/54H0m/DJx4NUnGcHp2lDFXSf8I8rlyog42TMq0Yt4Lsch/SyAsH8ZEcmz
/UafYcLxnD59UzJO1jFb8ik+1BDoMyZsNLbOoSv4V7QcYe/v5rjU+kE44dL69tjpzjMeWH/SvH5Z
/o6Iu+GvHLI7pfPVxFCq0Ee7MU6+x5XQ2gPIcuimbu+idK1by1vlYFAiSSIvlyc0uXjxPA1tdUqM
aXgaZ3v5lBXhVwbsJsrySfahbZP8523zG57PSBKFZFkZBZO8ilFm6Ya9abUoNnuM74mmTs8xhNxB
lNu/7rckG2/g3Bje48176fmDGxpzLB9uqolKpjuoyomqtUNllLHu26Y23J9EjMYiVAPAUNZ5Uuim
nakmpfKsREV0ChEPe2AP7qZ5pRwBQh4eA7l/YOsuFxQKfVHqMlGejVrMZ7evmVNroh9mp+6RMW6t
h7uKaqtNZ5tM9tLSYBRFXsy28ky11T0OcGhYIIYYvt/Zty1n4MNINlQGDynwXtqhIxPXXRVHgeNU
1XEp2vJPx42qx2Vxxofbn2gDbYHL0ZPksUvCTOn/0pbRKAs1WQFZDIyIxN7Pwqi+zrWOmGrOvLbt
xKpvl+VnpeweYNT8Gk/zXm1k+zewThpRHACekZe/gYyjERrYlmcjt9t/rbBrfvSzuhxdmGHPeWh7
vha24UNWCOc4urr45PaddkiJ4Dvv//ee5yoK0KyUMysUG+S1evlLnM5KVajsm2CB+CM/mHACeF8Z
30zj8zypqfm3mk/hz9qcleWpayO4QWoyHKQntbRUwiNJIcRVSArrsHTOQ658aZNZgVY2ZgLnuDA6
oj0DzlS+MhbjdR9Qrm2SP0a7V/qj3ZmMiGeNWjWHvCuc1vKd2Wl6AMBCfa6BG+hvjNgTS9UwESfL
S7z8+2jW09dUGCI9dC5CCr7WTWFzNMIEbWibZ6xxVib1vTFlO8uT2otJ+cK0K3UAv1EasbwgqBoX
X5KiLoeP9bhEn8qhi6xnrQjt+DAXpfclTvNJO4R6lHmBge5W/Wc+z2p5AMqkjH5uxF5d+C2Pzuyr
xTRT+TCQM1RHHi4xeilhVneHsIo9cKjaNPbnyu1K5dUYnTx/cOvWzp5nx+omf7IKTfMtRedVYLo9
irmQLRizP9I7cR4Zpugi16cGKP5JVa3wzrQOO4+0SptCft2kTWl5qNyCbmmulu380ZnzrPmki6os
/1QmMRkQOnTO/Csz0yg/5ZoutA8Tg0+On4Kkr7XjnDpheQLiEVe+GyXO9NBaBdqUR7uOLDOAf6vI
X93ES+pjpC8WD9nFzrU9Lv6NEINMOoV9EhOK++sMKCoLRCdCLXyWssYBwjMRUIWo38l+3v145edg
TRnPooIH4eaaMIDBViWP21oBH6hrgZ6b3dc01sZDEkqIN2iJ4QmaSu1TMi/eh6VW+y+IQWYfb8ee
rbWi+A2EUF56cLNeHrZ6MhpEA73w2YGS7aBRFj+lejPuBNMtK7zWwSJDhi9Zpi+tmFpja4vHzWqn
sftHVIQxbdqm2mnIbIRsCUGiHgC8gxK5fmnF0EtIlPUsCoowZLDAq/Q/ZHf7NdYidW9uaWNFoDbo
kdBzdoCLrcJl2YliWUJFeQ5VQvRBD4cv6DSIPTnD9xx45SQArqHt4D0NRGRNUZU6XTa7BnaSYXmF
l+ag2FHqp2X8QnR8aifvMVXdIy+el2lM3mYjempdBCXbPvqQ2/lRAGPptPkBQt9zWRR/dXlzRnTs
lBUMQURKdZjV6Wi1c+UnhrlzrW28ZoFryqknQA3s0OqmhqY2myDUjgLgmt97Qr5PFVk5Gq14LQz+
v7LvnwrkwMpGPVU8asdr/GbBZBd64iIKDCvufLPQ5icyrWGnILB1VWJAXtSWfDivG39ek9hTOJVR
oLqo1YRF+hDnOcNjYAUt+80OhxFZGfenaEuUDe2PY+/sXJFbzseeckFSlgCdvdrZvI6MIonnKGDG
RPsn0bJe8xsBlOvu2AAGVjYxKIeCuVudWurjSK0tfMAYjppjmgkNPYhoj8tzczEcIx428FJdtUrm
QRm1pQqjIB/NiLpUxdiJr6N3e7y9mmt3pILDX5DKytG/NdSqglDeHlQzCdRmsPMT9ZcSIdQlgwkw
0nsn/ZiPXvzZKCE32dnH67gEmwnD/3DsUxmjvnMZlwCU5gzGV1mgW8YTKUL2AMWnQ+66R/92XfmQ
U9QSQgQ897qeg1JAp7oAu4KE23841KomCt9snOSjo00z0pwDY0Y7p3zLJl7CQQeTS7q8cpIlVFtr
aaIyqPmMn+ZcE8mhNztoq5q8tz7Il+an2x/y2mH4gu/kXRARUvxbhV4ndQ3gxSV0GKbW/wjtRn3K
tDLf43O+/mqUC3jP0wrnlMEPdfnVyO20bkjsEkK00UN6ebB5NnvTQ6XW9xdCmHRkxlhK5HDU1rl3
mWaGNteYQiQnrJ5mLQmnh7HLip0jsLEkIBcw81LIVGXn63JJaSkyQAs6l1Y0K75h1cmp0vIezJm+
B1u4/ki0ocAwgdmntAiP7aUppisUbYFSPBiYkftJ1cV7cEFk7NEhXFUMKBuB6iJyAGGlSb06WjX8
uGBV5zHQlAVpQAfaMOO1ifUx80srqn4wuBenr0tTFMNDP4oQIaC6FHvaCleLlfhNcidKP1I3Zi07
l1rIvy1MJgQ5UtYas3KdBuUbk/l34/ckuBoTnHBbtstXDV8HNYU64mIN1Kwej/2Uzn+0/dIE8aIr
326fsqtzDSJZSunRJoKcEJTG5Qc0vaXR+9wYArOwo28i94bIB4eEBHVv9dSOYMS/W8BFgqBBNTDH
BdvNVU6FpELVlY0+BEJP6zdEbUs/U+vpXsIJhE5sgjHsmPTN+QiXCwtdxMxsYQ7BQBexflTzpfic
wBa2xzu8sYEOmF7iE31zOW54aadBEEZTF2MMTKOlB6IMnfkQi7yP/LRzuxn6s72RQ/lJLnJFVsbH
osaDGAGED6tQPNZFrYheWmy8/n+51paPw6BND7kVQdVlaPGPknfcIdHnITnd9paryCJN8/R16KBy
h6/xdo1ToQ7MnR1YaHI8mrpI/hQIJz1YotkbRtw2ReQnJhPH1s8mdXE6e46HMehDG036Wq2M4rTk
ufqiJcteoW7jZMN3D/SK1AR43BoDEyURR7tpxyCrbONvvezMoCfhP96/ewyDoDsqUV6AHi5dhRKL
TRlDQWK60FN0+GK95D1tjk79UimQB32/3xysgxR7mBjzYAy4NJfrUx1PZkhhM5KzxE7XnOtw/D4u
3R6z4tYZgO6bkrUcUrXWPGVMHEOdlmZToC7T8hM0WP33EM3a+AiXb56c9TottR1P3DQJiFHSjION
WfO101ofxtLKpyCiTP+YG6qw/dJLrb+6ei5yBMQi0vP/sJ/vSumS5chZtzxzLVFT20mnwC6H4qet
zfOZWgxcYGPU7t0A1xcepUgApzymqbXS0rj8dlhxGlKqKej0Pj2kCjHaV0QZP/a8dz9NpTO85V0p
Dm5qVA9VXe+1qrdiDO0u0meJB7qqF2jWUgwd5dYgGpsBKa+weOiKKnsS80+zp3npty7NXsCF+rKz
y9f1EjlZyyeFGEFWSddLr8cCRrAZt52aZuqeEY6Pm0NlwEBxKIco/DdSoyHxzUiUH6O2HT5piunX
FBzKw92fm7clv4HMBoilt7oZ50bqdqLLwyWc1udmWJDbVJJfgxX2j7ctbWy2TD9RotNJrYFiXn7s
JNYZg3GSKUBlZn5SEtP4ETdtdS7EpL2V4dAzu6PoJ3K9PZT4RtyDkF0Kv5MF8IpfuVnlpapBFXbi
JVEPp8no0nOfhWJHf2AjlJOFwo5CFJJ9kNX60GMvai79KWjqrj6VWlV+6Jx+PJHTJTu3/ob3SJ5V
FxSHLBCZ606tkiJyppQR8AphT9NnPW8rxwfvlr5ORaaMhzaMRekb8cz8ojGhg3ZQDEakznlEZ3fH
g66/K9FXDtNT1AGIv/4tNVIBmhtHeLIqfpZe/2fv2k/tOH0TTAD4FJf90Oy/3val6y96aVP++W8N
eHR5C48K3BAoAwe0BpcIGUST7Hjs9RflbU2lg74u+O6r6Sq3jRIUheXl7BTOn3XTGn+ZWdokfuiG
0/9ur2jTFohRKQOv4z8rH9UiQV4DT0yArNl4UM1xOlG5Vg5j7N0f4eXUDJ0tg5YQt/QqZzQSJy8j
nWXlYac8zkmaP9pqUZ4n193zjY3vRGdVFiggJqXwsjoT5PXzVMQjL5okzs4tdcbnPK+iHVyT3JvL
VJEFwcVCf4XAcjWb7s5za+TqNAadw+RCXjIaGn+oVTXzpyquoLDb5dLaXhd3F4cQPbO19oetNJ2u
dmxhN3IzJRBIvFRDk+6AsDd9AhgGNUdqcxyySy/HEdAKgFYmED18VYMSTcz41wCXjfLuERMY+CQF
L71Vis3UIy5NRaHqxia1gaDrRQ91JNCwhk7x6baTX6czVB+gbWeGjm3jJXFppeB5VpeVNgaNOYCd
sTof0fHs0KJ57Rc9L6T/YI56swusRcIl5M/5LUpo5Wj0NmPdQTKm7isdvvFjO+nOv4OqKY+Ul+Yd
e1teAb8adxxpKP+rX9pzKhuKsWyYgrChve/XkL9kfuL27f3byH+fERraxgT/de5gzAIIV63MgQGR
qvPitgwsHnO3GVusjUsCm5WWVU+3N3NjcfJZBBQSjn9G16Wz/raZNKgprmSDGlAIB2McNt8TSBzO
t41seDx5kQufGYUQbpRVSaAJ25nqpVADs9bQFrZj+5PO8+vJbNx6T/fhOvlknEpOKctqH8+9VWxa
koUOZCQGkMV2fp7sFAuZmywnVGFsKSGbjPAdj/0hTZTkxyysPfGbrcX+/gNWpyEvey0s434I2obJ
fCdVUt8YlOmjolXTf/h4v5tafbxqKMBAZd0QkHXS8fZiwzcytEhvf72NTEDCgMmm4UmnC7je0dl1
Rk3MQ5C57nSo8Rh/jFA/Ldo5P5Sx9nfap57fdvaO12y55u92VxtJe38JxTgOgWaltBmNJntF+nkP
yr9xy0hACOAG/BPO8NUeGgq3vhlT0DER4j6S5MbH0NZC5peq6H+KOoR+Lxr3eP+Wcn++eyjFsnUx
NYbaax5cClde0eXf57wvAzMduo8p3fQzl3x7SOw2+kjz7m6kqMS/MISM9DAUHeQkl+dddVEfFjnL
VagWP0XR8N0davGY0A/dSSDf2S5W9zfs9hJ6CGEWH3LlN6NdpKWZUG9JzWJ60JNuAv4gchh2C889
FtGiHYbSQKwiN9uHpCq9s+nG3kMaUV4wprY7aZHnngB3qaTdnXMOF7E3mvuexV79RkazwdySY9Cr
utyOek4ZrjHjEfLorvZdrShea5NSg5s1R68zIqRmE+sIf1R9zise7IjF6c+Ibuhwr3XKabGz+stt
19gKH4weUhWgJgcMepUdaG1haaJXhyCtrehBcdP4q77ABrUIb29OYtP1ZfeM0E8VfE3RPxeqW8Dv
PAbOQgnznExFUYFyiHLhu1ZnvKq2Eo6HdIr3WFi3TjZXHG83evpyAuly15kZT01nznidjnbbnCyB
7JBvTdZi7nS1Ng1RaJEFYiBL66KVrbTqorvFGLguhBApSn2+oFK2E4Y38h/e+5J5jLc2ScLKiTpm
bJPZM8egSmwouyZzIaNruyrxiZvITtlCbffGqrbcROqB8NnYxSuOLUsAsXFl0W8eNe/roA4zxyyZ
XzQSo504vLk8F0+UcxJgnlYRMi0LrezzcAhKr1TfjHSEpKXQ7cJXhxg5+CneawFtfjWAvXIqVko0
yiv+t5ykHmxFy6tUFi+WJHwY5iXP/KHPqj0O2a2VgVOlSc0wKXpRqw/HzBgU2GPHGxfkiu5bmUYu
3hvz9B3qSbM+V0pb75QTNk2Sl5D481a7munKF9S8lISnkxdr8YMY+/JL0qhuAO+58bmlH7RzAjbt
yUEKsKIUiN/Zg3/bSzGIrIonXgCFMI9qk87nGiGJJ8Uu7YPpjn/cDl7b1hhgBXAg0Umr20WvLS+y
Y+CoRgGPO1rGy9emVVrGeGz0BttF3bG35Sk0SuQjCiAU5a5LT4mWUrMT1+MDQv2v+fVYUqOYU/M/
meHapLLHnP5ayrPsy3TxEjp4ou2yz5nWTh9g2Jz+y6cCp0MIAYIEhP5yMXNsD0s90hrRlC76S4nt
9GS7TvIjH8fq+5hle83jzc2T8FReumCx1wBfLRTmOBBHgnacs/SshB1qFe2otn/edoqtUCWDh3zH
wzG87rtkeuWNcR5PAXene7LLrD5DTNs9I2xlHW6b2vS//29q/d6Nc91arJLyK7yAyYFuT+1HWv+i
huZT0+0yGm/dn+wfryYe8jjHKnwsHqIqdYP3QS1nP45l3Z+8FlXSAZaM08yUU+S3lMhP96+RNxT9
amxypo1LN9HLnsmRlDPmItR1GtsuOraj0F+WGFyFD5Hknmzo1ouKEyYJrWj8Q2JyabC2qlAZFr4f
EB4dCZeSw+9Xg5Z/68Im/2Nk7ueUZ7PySc4mCr9WSvd//2HJkgGK/hZX0HqIKnYtZapzmheuGiO6
MRSeqhyckRLACC7V8SshZVNv29zyWtABRBcpMAr90eWqldJSeoZMpqAfI30+hFlmfyJBSt+qnGty
x2+3jiJjvqDBPJRyuI8ujWVh4U2hSsdCRYXji+CMKAdVcca9jG/TjhRbJnCQXa5vA9qSFORtQTE7
1wC0lqhV9vEgdgLZ1oOR4U36u6TUYB9Wt0AqYqOpB6w40Tx8dJe5OvcNQjcIz6TLUeuM6mlcSvLL
wg53SugbX43xRDhc0OakHbrm968z1VlI4ulGAITgcHjWAcmdyF+UtrjfQRiYZhMBx3K5roEqiohy
w6HLE7AN0TfHKObCz5XCOaWl3j3c7Yz00ySjAnAf4P6rSGPNHbo7WkKOFy4RpHLRmFVnJVeX+FnX
BrFXFNoIbKAhmQZHZ07KB60SsGh0Z4BRTGeHptDcQ0gG9ZNkQdP9XjX7f6S+1PJgu7lj7pRGN/yT
4w1ilesIIch100FVh9rVIg46nMHZYwPP3mtUVvlOvr5pheIQVy2Kc7B7XJ42mkpCWTqcBGxF8ZR1
enSYy2SPv3zDFeVMLpAf5md0BDQvrZROsZSl6KegEpb9bdbL9rUFg/BNaUsM3vaPjXuPJyO1UJqO
hOr1OEJmtpFQbA+37x0YyZPOtA5eaMHzPSap0I9uY2n3H3LsSUowKr/0O1c+4npTggwmzw769G2I
5mNuLy+6kTfFoQc28mPg7ZP4ZVHHxYF6WLfH3bW1vXKCG1YbScD/riT6W2KrMV7TKGKGQSCvi89j
BT/oMW6QQT3YbTc1O3Fl40RQQ3+HCVNSh9Di8mNSfkjdGcx/kAlvgNAxbpX+gBToUp20TJ+bp7pK
6w9OUmvR+fan3XBW+RIiYlPHh7J5dfQLqV1ou7PKjI9RHDvVST84rW3dC0uHp5WzzhX0XghY37Ap
mqA05y0VvKKog0I1u7MVS8ZBdXB3TF1Dk7GFujqhjC9HeWi1l4PZCkQ0Oy1ILAp8/hJTIQVHEqGj
ChbpBZaGeToVY1qYBwpAUMGXYanIMcEu9tNBa/dYFbZ2mMAq83pkYRi/vPy26TzbMRUpNRBQAfp9
qg4nXen29K6urcC9JSeYQXMhW7lGmgthTUWe9mowwqX31iud+6g5sPTf9pbrQAB2lxRNFvd4Q6y/
oxc34M6p0AazB7Jg8rTiV1PN01+1rXSI2ZvJP7ftbayKmVVZf4DSHFFn+ee/ncKqQa2THrQZzHM1
/wv37jwfZ8+I9xL765SCa4/qCuVnpuivIB1JqyOqoZdlkFSJ8TrYffRil0r8lKdR8ynNQ+uUxpb+
YAirvvv8AZzUJXUWX02COy5XOPSO1pRmKYIiDdOTYy104CFh8b7cu5ESnwmPOckmSjNrfE5mWDMT
sChV9naTnoGMjq+L4ew9xaQrX5Y7GehEk0gOuAA7Wk+faLYQnjr2TWApdncscif3xWz9ARDLpPpR
nhwY1vy2KT/xGX7dXuAGuAHbkqCflIKGuLp6q1siNft6VpvAVUZw3rEcFClcRxyZMu39sur6s5FX
zpE6vHe0cq36YsC9df/XBJdKfkg/g0t5jRg1RgpBS620XMpLMvkiUfvsYC9tuif0dn0QZfYkUzbe
1lS/VwcjcUCPtYXS0VfTnW+MmHXz0Y5m10Mu1Jz7YxrpzfLx9hZfX4m8sMmfqLlTQ7hSs60zc1LM
pmYcjGbJR7BWlfO3mNOsPk4Frd+dOH5tjfSXGWSeSCRrTGddHgy6QmVBVHjvXFQPRrfoH3tCNWwq
5W6dfsOWrItAPovMuiS9vrRlNZFnRklWBe6Yxo+2nTJ1Whb5o7Lo2s5Nfx3RyLQZz4EfjRcn1MOX
phLC2cgOV0GlNu3Rqqfuy9Ln7efbn+raPbACtS+zAXK0zlu5h6o3ZRgxwxlkjiaOZWUrL5HlDoG7
JMrnQrTaDpZiwx7PZgILNw8Sh2txuSxewrnXkzowRGdC9J8Y+ewrQ4S6NyCBLD1EFpOd57sXiTHe
D8CHZKK4OvEMjzeFkdk1l4MD4W239M8d8IpTWPftS1bb4Y7/X3+6d+oY1ijVchlWuPx0eRb3lIrp
qiG89j01OuUczc10ur2o65uIVpgkGQM1bUM4t/IPu4QXpDNApahpqx1iGAY+13CtPJTR/MPR4jzy
a6d0T3Sc/7xt+PoMkDnwouWlRx2XWfbL1ZWRqYeQrwBDKMphefN4GH1NG20ePoCVNe4+BQRobj1m
giSGc33gJmdMKkbOqdk1URYYcxIfGkrlO8/a6w/2/8iz5NsWnOaaGDlvMlBabrwE5ThF05GRHDc9
QGg+eXd7IsOyIBxA1AO84WF5uXdJOGZoIfV6kE5T8VK48XBonbj5mCFBehy4K3feY9ffCrQDeHqa
ytCTUB28tKdYUWojQWQEha3oHlKqRlkfplA03qNZmfanez0DrQWOGZAYihFQolxaswQg7JRzHTii
1Q8LlADnyJrity5XlZ2N3LjFSYVIlcF6cqivGLPF2Om5N8ddUA5h/uimOkNUWdz96nTm1WEpTIZj
1TnKUYLRPmR9nZSMmhizcbq95A3PAWEMC7EcpKQKszoMipfGCn/Sg3zIqmPX5ZnyasODJXZCyvWH
hOoKdCkJmaSaWb8yEz1My8bKhgC2IZMmlE4bERS88hR3o7ZzJ1yvCfwUxQJqSYzP8B67/IxAKrSi
hyk6MJbIO+pqPZ4y0hP/9s5dv2RhjpMzofQy5GDaylkQXkr1ARnaoJkq5a8xdqf5Q0c58CFrx+gr
kLdUgWTZmvfkOuSvv0w9mVGjHsJoIS8FZuMuV2fYjeaIqp6CZWy0h7buxwemg7NTW2XZBwUuxbuP
IMRuBC6m18F5cvdd2uucTLSkeESweC6gY0i7c9m25jFhjmYntb36cBD3gKpngIBTwcN2dc8N5WSN
TPEYbCk04oM2Oud2SLJ7XV5a4f3BHBlpF5f45YJiq7AFmCUj4J30r+Y2rq8P9d23G0YkZlCiSAld
69It9ZQGts7EZtC1ipuvdeGIIjqkTlwkD9pc2f8r+sqb3qKsy8rHrDZydydR2dhLKP2AAVMakE/Y
VeRsqlRkQ56pgUfP8Nypinsw9FjbqTNeOaOkSJcqf1Q8DN5cqy8WcTQYM/TUYKA99JqYE7NwmtK2
r6ZoktNsj9F4rzuyFNCsZK8U3umPrg53Eg41ChqmFqDeEP9Aw8f9VKiZ+1ZUevbX7RO+sYW8keUn
xGHsK8q5zuIhUIeuFvQCecZw7kB+Mqizc3dvbCHaXjSxmIVDSGzNcZOYRUiO4FhB1trTlzhRtcNU
VcoRRcDi5IxGfr69qqtITCOGdz9pgk1SzmP80v3DLp69cW6tAFJu2ztlRq1RdXNrUP/a4gzp021z
15vI9Q2gg6IQT0WKG5fmPLUxui7VrMAjY0BFUeiIjzOt1Pz4D3aIh/R8QWHCcHFpR00mWDWZuAp6
LR0+FIkgi6yrducau/5YFNqAHNCo5K1B+Li0EjZMutZ1bgccvCehFt1Rseqg0VzlmKbN99tL2vhS
3DA2yTH3shyDuTSmhm6TuNVgSfnq5Gh4So6upV5C29/sTRptmEKFhbIs8ZerZY1mi8LO9QZ7doJc
AVD0qzCcEv2LWoVxOukpS+0kWhvbSCMQqA+VE9qCa9heP8ROZkEPH9jUs59pfjnC17wuf7AjFXh6
J5S9VsXGAtlEsjoiBv+snzS1RwZl27Ub2FU/njsl7c9hjprZOIi7EUWymyVHFKDhYkRsDfPs7Nyq
1XnEVNKh8QFDmzGc4LRBhrOqcnUnzm8tDNidhKVQvsbupZNADVEOc297gR7CoNMrzR+Jk+SPra7v
HOQNQyxMUtJxZTL7v8oDEk1EdjoMYVAwohBMiTtYp0604k+zi5Q9Ob1NYyAd+QuAJajHy1UxW5YX
MXqFsFHYteknodv/pbQ5aA7w2z/vPmZg6GSVgkuMR+FqYWMcqTHpeBikujUdp6quHoUDRFYR9vG2
pauUkScMJTNDjtJJtbVV9ADM39ROo4WBLar0O2V96wXede1UNtN8bNNueagjL368bVRu1UW+KI1K
rkKI9ymTrJt0S5nbyO1itFAM/Zw59G+T1N3jj78+0cQPqSWiSmwUuNjVB0uITsNgcYstxV/VuHwD
Tg2BaiUcf06aX7eXdO0dGHNlfZ5KNoMEK59PI7dR+oQoHGlNeNIaq3yiIFw/Gksa78DMrndPmpLo
EJCP1JXlun+ry1uD1/XzqFiMWSeLegr5l1NGxmTCfXtNW4ZA28PzyObJlsOloToyYxH2ucMEuTk/
5rFlPRJg9kRMrj2QPiqFMlmZ49WyjvOC5tQ0uYUjKxG5jwwmJPz1z0lXn6zO+8jQ2Lfbq3rXDrz0
PuY8GAYGFghMlWmqy2UVSmMnSTM6QaINb30qjmk9w2DP4Nvw4qn9OTFb+IkoT1eL9+aUY3RoHGNv
0EX6w9WPIE99F1Qh+K9OOCNihCzGVAMbzjvUO/ImP+hUJx8LEUOHWUHEfMzievZDZ+g/396BDV8F
Iy7zBSn6xQvqcgPSTDGtLqwc6avCBwOjPDJWD5ubyPbkzrZM8VEla4TE9lydwUrEKOEuTpCChn92
9cymhEYLsBxDbSeSbXgrJ+p9qhHE21XMTOvSQTSGHa1EJv4pmPf5VzjN3fSPpHNEE24c4FJs3mrv
eBx1doWYV5BNcfaxcsb4TaS9spOMXK8FG0gakhhw8uDNvPxCeVgvuZXN6QvUvgbTVqxIPZhxNe7R
Lm4YIuGWcRJHBHK8OuKgf5thFGb6AqRGhRJCyY8QAOr+vQ5HZZqBU4yAp0MG5XI5iTKThUdW+tJN
7XSCU2E59IOpPdDREP/BlHxGALIHOHo1A2HE1QyTXZW9xLmjZc+T7YTDgabCYjyWTVjsDYVf3zGE
EMRoyQjkvNqapbMvIK/lVs5eYLaobH9pjfqgCMt4i9ocxF5BGnR3UJYWJckSuQZBTL3cS5QK4ixr
xuyFbRbIzHvzKeUBtXNDX5/bSyuromqY6YzHaF32AgLCg9fXTo5MS3Z+3ST5zoL2TK3CcaU0lUjQ
D3lRrbp7cRehfzCavv04O3N/b+WbhgUC2ejJWhLatdbvLJ2aR5iBqSmCsSxKR8dvwePuBKJNn+Ba
kck2Dr8GcSoUWdOqU7OXIVUVH0nLh6lzIAexX3vR1XfXHlgSzxb6FrK1vI4USNxZaVsb2ctIjn3w
imE+hWGfPLvpuPehNtdlSyAFicc1KK6aqqkgZGUvibG85Xl6ZEz9uY816yCGcG8M+fp+pOgtiw86
U6cSgnDp5v0wF05J+fClWqz4m9O2i+HrKJlofqq1o+EPpWTT8Kahn45L7uwSH255JUQ2cq1Ee6DN
l/ZrlYEBo8izF9EoBn5vd+KQgZPrDgNVnp0jsBGFZRuNrAR1Ogai5Z//ltF1KG7kIuVMdzCovpFw
Vw8U18OH21F40wpQZrrWqDeDe720YseuPfWonb0k4+Qh0G0mj1M37FUZNzYOdmQye4YuHCrCq6vL
mFWd2opGAK5g9kpCZ4FkOnRhunN2p9C2bEnEiMQwUNlUV04SV2aRR/mcvwzN7Oknraijn04Ytos/
D141Hfq64t4sHZv5swb63X9LppG0g1Y4Kl16KEFfK8Va/u1F6b1VqespPne7at6drwPlhuyMUEDU
oU91ue9Lr2q9kofZS0aJ629Azc1pHJX+5+2vu3E6wTlRf6TyCXZyXVxNJ6VJYH3MXmbF/poZyaML
nvO4oHkYZfreR95yJWpANH/BBoBHWm18E8fFUokyf4l1tzo3fSVpI2bAHju3+aYd6azkqnKSc/U6
tXFULXOb/KVRwvwYQ6fsx05iHm9v3ZYbwecktw3MA4Dfyw/UxGOddH2dvyS18TaZioLSj1j8YY7u
f1HxqAfjIFvnoM7W02SV5QllHMz8RVmy8Vh4znyei3g6317P1q5JnXLJ2yKzhNV68rKOO+qf+Uvp
/R9p57XjuNGG6SsiwBxOSUkdpMnjCT4hxh6bObMY6ur3qd6DtSihif4XMGADtqdUxQpfeMNQHaq1
nBBntexf/8MoPC9cjqo7sj3ovKBWim5IeQEo2Zxmv+iPtgD38/81ylYtjeKv3pqJVl5geGfRPA1E
qeO6p69xb8VUU1d5xvCGbms7XsIU05ZRRiRio2YqTG4CdLdfn8udfUZ6C7iAv2hdbZuAs1NrtmiK
9Xmtkh7bN5wPpnd6YVVf1yWx9vSd746mLh3VntJBpFzvai/NMttFpfV5mOE7h35tu1FsFNZhyGz9
59tn5iogCAVNUr2tPknqlHFOF2R9Njt/fAA1XJShyXr+NMp02nnG1O++zpxVH5V8BPS1KoBs7p5W
n9d6ah35nOZAvYEUjMV4mfxZb4+FG2f2sdDKTo98/F73gpLbbaJ8VtxAIVDojGyvPVnKxgbFbj7b
OKV/d2Y0EHMHxsPri3k7CiwnZFTZKwGg4G2xtuiXnvXEZMNMXHky47V50o2pfSvEC9CxigXwWFHS
HttYWDPqXia2wMgRzYuPDZbrT0JrjRMq6Xvv9O0XU7myErB7SQO3zK0EP8V18ZSDX1l5kdW61V+m
1tkfhJ34B2PVjL/dyXozSI/5YeNHp5EGD/WlTbRjQrZel4L50cfMZOiKQBzMlc8XTRkIem+apnTn
fN+dJ+xPSqlMlPrm9Ynz2xjCrvICt7JZD5PFSyFkYt7QY5h5oqa7hrnrfn3zZiG2QP8WNR3Lvmnq
ViJ2zH7GjiJb3PmizaP4wEP8ZhsyyvhQ4QA7qjI7SJvrmQX05byq0hkl1cBvu5n5aMV69/D6XF6u
ieujjboangE8kIpescUvBH5W64mGgHo52MP8pUitska0u+mHrxUQuuxJtfPmsMqacQpj6I1ijmRu
o/rmdDqy5ETmVRwNxqr+t4FO8/sgA3t71tPOm0MrqPvyaFvl2Ifg+gMH1cGsEhHA/mLv2bq9fJkJ
G0G1umFVb59giRBVY3vMZOgsjNswLrD/xUcZH9OhkM2uSvudK0NlSoDQlaIS+qWb7xOLOkidOj1L
Z3H1o0DUrHsM9KTzH9x4MIzLNKOcfZ4MWwTfUM6rkyd+YUUFRmZU91HGrWswyY7WRdaKAW8VOvEq
EwQStfmrKTyhRf5qxfW7TPTm+H4s4jmP+kFf9D8zt6riJ9fumhlpAUT+v81jE0xvbikpwT/yIwqX
Bi32zaXvrL3s9EEvzkVbkUePa3aqg6R8P1BGO76+C28DaR5NiEoUvEFSE9hcryU+J0i65H15HgN7
gfUly2Pf+zoYAnZP3Mg3W9eA2oeYAfqPeg7Evc3Z8tug0GNTlucp7vvqIJ249A8j1hWfTTN39J14
6sVQ4fqMwfZENB6ANJ7EyMhfTy+m4UiHguEqTDDGOpSis8QPH5CedxAFhe46RNs68CDc2EiAhUM+
OEk0O7rffsSyHZRDbojsl9W7iNfSqR/cU5EnhnVJlw71GOwygvpbkOXmcmgTz/wHH9q4glLt1HDu
E0tLj+5IrfaP0iQZO2mWhJexpKT27516Cv6h3tTlocnvCc5SrPrwUKLgPO1845vzgq4CPS8FTeSh
hfd6vQiQTOt8ber8PC2jHa6elh+KoNxDCt4C6kB6sV8pyyg2L/3X62GGdpSFZUN56/FHOa69gXCy
UzunvI+rcEpSM8TsBj+k2kGAh+7iw7DKbAcOcztVqL34Qb9AYSgxbH5DOjQ14S3QfMQYzCdjjocv
RpoOX14/NDf3HWU1JKYUQpH8Bjrx9UxFgKwDYhU9sqBxe1j9tY3yKjYfHD3d65zcmRDMTF52kIrK
mXWT3TSNNWB94fbntjR/jU5hI+GCR8zr81F/yNUpYT5knZSiYWKrAtv1fIoqbf1Eyv7MUSjsYys5
oofYzhzroHXD7DzpVA7c40yp4zctvmINh8HS9l4R9W22vwJtE4aHn8ZMN7ceglpD57nIbVdd07x3
sil/WPJqfsCW0QG0K7zkoV788p9idvUdoNHNLUiWqnT5oBoAaqIRcb0AKzVUu8eY7Ryn4vtU2OJD
LIZvTudbz3qelju3kjpvm4kqj29eTLIwZTd/PRp6prGtZdl41prefYx1C9p5mzdo6mdNFQ/ROtcT
+XLvy7378Hae0DhVnx0tPTDEW4kotPMcLIwQQKl6FDqfZq9gup1ppKepm9ryuY+brtu5fW4/K2Oq
dggRscLBbQ9LhbPbmMfLeZATUUtZz5r+ru7xuMoOg975w7spHtfmQ9umxbemGeR6en13355W4gQy
duI2RLEonl0vt1LsMObFVTpEhvO9KAP9ydYltCvc7XYe7tvTipQ6Vy3ay0SptHmvh+JmNNskRg6o
NLP5qy3y9cMKdGgnmbmzoqrYASgUyi+Utc2E6GFpvV5yi7pr4WgRIl/6GGoeLJZj3Uxrf8Y6yos/
9SSJU6hTaa12btnbbUTgBZKYHQwREGGb62kKYdhD2cBYhUuqqUJI4Q5Rk7hV9g4CESKdPaShPQ7G
7WdUSQapDaKyaFVsg8wA5UDwtoM8J8XUHBIxB2GgAwuE7/HtrRuG24ciOKwnrIBunOsTuQhUWAwo
pJnjPiIKMRytzkgejHaxd7Lf26sAr0xad2xQTiTZ9vVKgnOz62LtjLNXOjE6XcIcILOs5mdCw+yz
ZUz1+1kz0p0jeWcpOYdIq0LBB1OxRX85aCCtcgQ0GsyD/4j4R7yGS9b1n9IG/cTXF/N2s4JWYjmV
XStX3fbK8ZQIWtk55llWFNLxiTBS0vwUDeJTp9zFoyQthPjgGtX8M5kbY6+DeGeuZCaKI/9/oYmb
I+nFZgF5V0/OtrL4slc68XgILU81hpA75xJwL5/r+mZ/qTMos0kyY2KM689pTONay2SpzlCQpvpD
o025CJPBSaURuiMKbM9JP8n8kBjGMDxxXepeZA6prf1R1lmefO0EFNSzDXrg6zQgSNhGsyt1tMxm
u86Hw+jHMjt6gdKqzYJ8Kr+5sUvfdSrDoSZBTdlF30gr+0gFu5FcEtsLha0VJ/QxqueCx90/FUs3
fAEFoUWFi1RwNSV/+nY6hUWG8APW3l5pIOGOIkRoT52ImtIpx3Ao+qqJqtn1DoO7/u4Kp3lHK9Mr
Php2ZliYTk35+3r0lsfAKe2nYXTi/BC3+snTAjkcscnLYZnLcQiA4CGHG7p9TLVWby0j7/jxvf+x
L9upj6qgS+Y0tEDg+tGgBd6zg3knlJ1xvVSWOa+REKv2bz9OxOkJ5ORfyps8jpbMCN7X/njKZlBJ
SMF3oS+M8ks/WuR3vpykFXk8qGEiu/TBQmZSROSzvhsib/arjg0rHE0EeWN3do4+IeMSyrbWV+Bo
OG+ssSVBODntIfMSjomPklEYx+4SzbiCiGhs3JO1lmhH2rV+8HlGtQgSHFDzOsen9m/B//DLXjuM
Ood+LexQBGZRR1aepvmx6MUgnn10rOYIAcW2DadCBt5jaY6Qyt0qdsaHLJFVf7AK5EiOuHYkxiNV
pviHrS9pf+DjCE5wLcTCT02lrMJ0QBEiGmxdG5+EkdTrSV8rOezcXjdnC4glnCBKoKgOQoTdPERS
OEuL2SPMhMFPaT2BO/hi5kNuh7OnD19fv0hu3lbeU0hWYGRt1Gy4S67PVpC2hjnbwj5rVC2PTi6+
l3W1p8R+EwlDjYHgRw2ZNgzaRJsYNHHXXOeb+NzHGbqNFqWZJJK2HJiSLP1P+uo3ceTbU8+3brWi
/qjVrZ7uBIg376v6FZit8gOAiN3w+Bu/sTSal/55sX063IlOzy/oh3dOm+NWHuAy+frS3n5HAlxU
Iw3ckKis3ViZzGJEQlag3WYMKIR6yZL9ndZx0B4otHefXh/s9jsCclZVAPrNSnBmcyHr3djpKRWc
82TWReRBLzssdbOHp74ZBbi7UnhVDi3gm7fkRmrJTpJwYZyHJsfx0u6SIQXMH9fBzre6WTtEEMgE
4fJ6jEiecL0traac4rhqnLOGGZcblXaRfJsmq/9ndJZsB/x+ZyzwzDxkCoqF8oT69//pnK9OM6VT
5ltY9gydjBBEG9ynNS9N44CT564Wy8unuHrOgEhR6kDbj2iWcGFzGrRZ1Y0qQUkxaSdBSXEK4lAv
KjF/COIUy9M1r4LPQEyy7NHsTGrejvSr6dmpnGk89HhWuO+ahJjtWWINme2s/E3sxK+j34fRgMpa
WZjr1fD7pOh5+OFRUAw+4tSUvut7fQHZpzUUfBavfVf1sLV2kuWbw6nyfjawwiOBsNlqpS30zhIc
vNzzuqTeQ9UH5fwjWbrSexBtPDVHcnn51p46lAryNgqCwK5uN3NXZPGQi6Thnp2K+FTYHqZig/Tn
nXvgJlYDV0MnlZ2FNgXEpc2KCrtO/SnO13NVG/Exg3sf5vP0O2iL4KtnrYgZNLH9KannvV7h7WlV
uq2Ujtnb/IKX0tJ/NraVFwU83VY7T6Ptnodxzp8Brr659kilBtosaGKEhUDobaIz4WR+b8Q5SH38
XtjHzvjNE138Xga7Vjy3exMDRyyzIQUo9s0WCRpUYhhrrwtIBIvysxCe/5DWo3/q/Hk4eKMe/+MW
e7oUtxvzxd2CD0cvTWmGXZ8HMY5Zu9IhAsCcWu/JlkrM0WbDKw/+sGrrQ6r1VfDWHUN1laY4WA+V
3LNzrsesaVbUtjMHZ8cw2u+jXLxHK+urCPgN3sxuUpaPXVEWf7X1aOwEH3f2DEPTBlI684gIbjZr
1c0UYic7OMdFbB7xhraOQbFY/8sodNSo9rGiEK+vJwghKxv0wQnOFYXrcNZiOxzQpdlZxtuLHTs9
Xit6Taoq7m96aYs+jQUqzMF5MeMmQnDKP/Tt3F/chhr5G59fvhgDkJ5QHeUfN7vEa5dgki6Q3qHK
jb+oLbbv6rpK/319lJubhFFQauVqBpUKOlnFWf850F7aNKMM1P6nBi5/eTh5fLDkUM+/yjX1h0jz
iH9PNroiaB5qRvXr9eHv7Q3uWY6BiqS4Wq6HX9tG6I1IAh7KOIuGCrMSXYpl5wG6CRaZJFcK3A7G
gIasfsV/JlmurZzRKfHPJfoY9sFNvQHsXCFTEYpSD/IwwxXrL6sdO0mvEqYjKIFi3kPZ3PkVoFJs
Qjeq7ihxbI4gMThkRdKs8yAm3zmaYqk/CF2uepjac3CxBpEGYZmbUh5QCE/N73aVYkX85gVX0rw0
SykJ4a256bMYWsPtIIbgHKxZfbTjGGWxoB53Rrlzw3G1EWVR9IKStq1Ta7E3t2bvcxj9qQ7xMP/Z
xEYWGlbz01i9tz/09OCAv3NlqjbjNlBds9jMV9RE4chN+nvoHMkjIN3xvdVjpubZ8R5R884loEr9
xKqq+Qy58Xo7tUWSUnbL4/OE8R1SBJCT8jkLQq935U4B72WlriM7QMEExjBD8JwE3no9VrLoqIrg
1nkZFl8Oh4I3U8nd4IcaJkVtfVq8Ii5PLsK2/04NcgQf3CD1s1Ab0EotU3OaotRC1/8wGXM7fW/q
Yui+6bIg0k5RyK3CuvVX76AnQeJ8aFne5YPR4FT/IG1v+UVY51QP1VSL/DAh/qFfRDX6zaFYY1p0
C57i4iBcTCceq6lDx9qaB0whzImzHE5dP76fRy2xI8OTuREWgUjyj7aoPXAxTu9mDy3tjCUyYGKM
hwnMpH8oq9iyj/Ow1H+XHhr+DzLprYlDak9NFGiG82PCZboO52C0u4MOEwXkndbk3eNqubIJu8BN
BEry6nI2Crmsz3PtIcvrtURmO3v89uYk+wTApPIjRVHY1FanXhdA0aFW+Yl+mb3JjNyhtCjyGCiv
5+jNfFTAnHc0sfcM3e/ELC/ESe5NsgugD9d7gmAXkGjL6YJyvR7R3phrWpN68U6ITBwL35Ifjbjw
k514+s5dDY6Bpgu0GVUz22z7YkYcc05H7az3QdZ/03E0YRPOplbtRNG3Kwtki4uDvN5RDeHNykL9
m1Ojn5JL6sfd56qb4uzgzONaPo597BdpaNKzHEOn9jvv0+RDFtwphd6ZKWkvNCRkxWlvbalYuE56
k9clsA+FyL81q24frWZyd6qQ90aBsamky9VlsuU7LYWL3ypH+TyvdnLM0iWLbHt4c1MF7Q1yd+ox
xF50ITYRSxB0JCwDpMZh6us5NL1SPqKzsySR1tV7dnK3O5MnnPkgcgqFDMzd9c7EgdGeu6ZKLkOy
iMuETdNhWtiTZWWlTxSgmh+4a+05yt6uI1wxNClpmxMn3cgC9HIJymbyk4tBPhkFY58QmHVvRuMq
/jUyilS2lKbPFvNb0GHop9RNLlmfGE925Q9/BPQ2wtScKbu+/kjfWUYiMprJEMwpVmyFGyk8JyCN
rORiFzJq3PFvtFHwZ2nGJ5cq1sHXdg7c7YPG3GjaAP5U0iVbjb7ML400jov0Esy+noRJmZURXUL7
W9ARRr8+t9vQgKeMrrGyZqJisd31SdFossP+9uKMHi0UufxAUep37OpTCAtrzxnpBU56/X5S+cJa
DRg1eTmtjesduXjIIrV9rJ1nvzPySKi0+ew6U6LzWGSa/jMuJm5ONL7TIkqAKyEZDaiseZiQhNLD
IS0N+8EoHGc8jvRcfiJPTGNinM0GFadm9LXItdem/f36It35IErEid9L14n8d3PVuqite9bQuYjK
oyxPh/13DnjqOTPLnfj79qqlYgRXgdscjSqKM9fLswY8j1NQuOcRyAIkSPpKnwkSljlKNd/6gJWD
OC9V537s7HT4+/VJ3jm3yPmClUDy+aVwdT22b1eFu8wIDZD7Zqd8dPWQql+ws9/uLCWCIWw4Wj2g
arbAIkl/c+pgSJ+zzHPfVatO0wIG9vwDukn8/e0zYhUhLpLMKLzl9Yy6pTQJClyPitNaH5O6Hp5b
y9+70e+tG0IXCCEzBFWYzZbu8qXu6iX1z62gV9MCQiDcsPfCmzvnlJIsjXh84ZSC32YugwX2a0Dp
HoeZ+U+tk5+WVgktkjuEVoeY5ttXjn3IxcA1S562efLTvM0dmUz+GeNe/1E0uXVsNWcP4XBvLyAS
AnuKvj86K5tR2sms0MbsaBo43vLHSpfIJ+ENZ2Qh/n19PrcYKxBWKEGBYn7hVGxdOINqTtxGM/2z
jcdFGyL+U5eHwBfjU+14IjlYfTH/aCbyzJDAP28AoY1DFuku8ljH13/Lvf3Cz8DdT+W/YHKvd+Xc
+PVYCumfU00zyPaSNbLdxn98fZR7a8u7TzeG6meAfML1KEOfevBtXCY85VOoufP4UMa1CD057+Vf
97Ym0HByWKU2QOf/eqg8tpa2tWhMgIns/6h8fTybky2+I2xphn5jBp9en9qd51i5qZI22EQ3nLnr
8YS5zk5ZtgFuIqOcFQWje2ykAZIibcYvNGerKBXtmwX4lVwDubNSIaBDskXIZYPRGMuixFH8HHmj
WGjv5qZqjr7bJf/DvaWa4LQqSGjQHr6e4AwzM05jTp+caJcmxuhFg2z3HOju7UN6MABm8RFRpc/r
UbosSWenZx8ayzA/a3WRHqHh70WD9zaHErVT5w7e1LYVkqB7m7TVwu04sdvnOps+ZmlTv1s8vX5M
krr95/XNcW/fkxcr0YuAOt1W9K01u4Dcl4OeE1w9ronhfF11hBHd1LZOrw/18h02wQzVIxCNLz1A
pni9gqmPhFIs9eBsOQtGcfyc8qMIRssIpZztMao8T1Tv+74x0tDXLHQSza6TWpg0Wv4RdT/r2zi5
tfG8FkX5NXDy8ltiO+uPFgmWH3XcrB9hrSQ/c3vM9agZtO+UQs1TFeeADoZgbh/muHOWR3tsy+rY
4gWN7n5RSu/IWTB+2KU/6ofBz0ccd7KK2ppRVPYO/u+F9LZdAoX1oeeBFCP36/USeAnMTRGTzphl
6gddWJaLLsK8twD8IpbhUGWiZbkkv3yzdK0/U2zQ/YPVODYkygyww1lHE7bmDQOo8XkuZ7eLMDJL
HuFltJgf9bVsT/Ew5PFTrY9D+tEutfLf1z/j7Y5RLBpoikCzCO+32jY9XOVuoEl0aS03+zpndhz6
hZQX/JbGnUv5TniH8gTMLlV/V+ID16tlpl4NCppLeTErCZjBTAwEJeflsW/WpgjbbPafxLJOR8Ns
4rfXCywKy1zQYJopOW7ZVzr6WLKlin32G5guQY7wAAH22+MU4hPaN4CjCGNB2l1PsSgciEkLTPOl
WCQ1OGrNYDFMMVaHvM5aAldRvr2VTAyBQBYST+BRb5pGnlf1sl4SmIwDxSV3qLOHvOm0cGmxOHt9
s9xeZyC0ucYAOoDa1rfkHR1v9krHvfmS0ywC7L8ORzCa4slvFuvQFOWyc8BuL2kArwCzdUbFvHAL
jEqS2A6GVS1nuUzHlLLqATu3vZDkzqzoNSBAR1eYOs/2ozXGqhdrk5YXp8hWHDrth7WkQLdU8Unz
F28nuLw3GjA6JUDKtYE00fUWmYmTm8BswGYYhTh0ep+fzNpAAN7o/nQrpz+9/sle6LLXdxRq0FBK
oOyqasFW0bJYSLa6bK4uljWa+QOlCZBVGgS+4TG2/Sq/lEPTtM+LDW8hXCT0g8O8OoEdpXpu/8KD
2fePs94M5dGVPcgir1/79zM8DNDHRT7/1ehW01M3rTKPSmi1VH+tBAr9wZ/F8MtuqRajRiC8r47B
y3SolibI/kgBxciPBDFrf4ATU+hHs0DO69hoifgsetfowm5ezT6sFm6nyOoW+Ttho0+hnEb/owtq
FYdJs5u+CtuG7+yQuuUPbgNP+LCzfHyNzeqRpZF1EKkrI9fNI7doqSlt3LYvdDDSyLDkdKiaSh5f
H+XeJayAuaq7TF1gK2VmAG1phdPVl0RznK+mtvjf4jlufox29mZWOh0Cmq78RZ2PmEQduf90n8xg
4VLqRH3RE9MJ0TfIj86o70m+3J0QIQH9VXoSN7J9mSeCEphmfVmRyT8h1ZkdaxCFp0rsJhT3hoLg
qkgISOeQVVxPSNPcDPWnvr6kWSwfNDxFEIjtiocWEsbOZ7pzHZGEqn6VwqYDp7keKq2DSks1q74g
0ipOvevHJ5si8M6Wuzuh/4yyaYJSb27yplrqi4be+V9iBkIzTJ7xsJhrvnO/3huKup4C2FLduXFL
GbJ60FH/ZjMM42d8I/HvG5M0WpZpz6Dp3tL9N8zYBPXFUsxADAkzksQszuAQsqgMtOD59XN0dxT2
NfxLUr8bokJipXqn4RF/sTDKDsk19cjVMv/h7aMwAOA32mAIG23imG6acncyreZSlm581PAnOvZj
vedOeefbwGhhGsQqFP+3XUtKBmnW1UZ9qWg1hTTE58fK7z93sVa+ucGAhAygVXCLdPhJiTbb2qA+
NAqfw1ovU0aD1EiekkL4Ox/n/oT+3zCbLRCn/ug7g15fJrf8beSe+UgSMIdod+05RN4bCTwEVS9Y
nhbistcTQuuw6Veh1ZdcZP4JilI7RrmVOB+BGOb+znt+ZzAIkCR53HTs8K3NGbCvLC97t72Yfjk9
ZBkyKk3blT/bztuTCFOhweYxomOPqJV6jNh9avv/5+72hiTIgy7tLkqKA7Xhxfgwjqt77tbCiMwq
cy6l39t7AcSdQZW2t9JGNSmzb+KVpum8xJ/G7oItsDadRjeJxSEdgunL66fqFpCAjxqVGgWffimJ
XU+uJCsy+9WtyTyWj8vQIbap/yraBipl/pw3VhYm6/oFy+5vr497585Q1TGFRkIrAbLP9bj+oK1L
Hg/NhapV9b1bRfYR3536uDOKuhSuvx1xBPgZZOQURm4LdchcOZcpJ/qSrdlofjZr6SZRa3PRU1us
2/7B1+NcfJpbK7XfCQd4YDjaUzJGAW/NcsHDOE/fm5ImxvNYmUvwrp6Sqf+UmCJr3skYKbJQLjId
UOcX0zfggN3fQZDnyXNjy6Q6uxRpvQdL4CGPfajTEsYkfPJj0AHABK4HBeqsg8Q2In0eSItmocd/
prNduaHur8k/3rTglWS0U9N9mb1WfjKdqpxOsrS1zyWlKsxmhzz7N+jadDq4cW7+MNpxTg+9N7ti
J4+8PXEsJRgkDIwUlnLbRdGQ56UzXDaXtYQ27gl3jIQDt6Eo7GbncN9ujuuhNicuLWU/ZnbWXFLL
K44YnY/HDnrvm48Yo1DUVmguXuFtJaVbFgQTg44cPE60ByO3rKjFHeZ/GIWqNi8XnGY8Ld3rjS5s
kWYYvXVcEqv0HicrXVqUJVY331k09QdttzrXnnpUSEjJhq8HWthqsdOz1eOiM6LeX4ZDt8y4wdta
L55wJ5bGzum6tyO4gRVzl9IyTYLrEQe/zKaRpPdip6P/2/Hy7pvVjI0eOrQidpbxpd95Mz3Qprjs
EAresD69IC0sbew79AI6B/s+pxjaT4vfpuuJ9Kn/IYxYtF/9FaUpKlKuUR+G0V6XByf2s+9dVrV6
CA9Zrw9+3eUBBAFXIl8s+/RnCf0iiPyOtzeCnGFaNFcDZ4qKUZbzV9eeSi8cp9HxT6mEVxCKsV6D
z1zcxfpgI9dqRolIRgjF1MTW0PYzx34YE7cXYcMlKg44NEstSlrDW0Os/szmUGNAlvihT4VCPOne
IouDWad58eanHwIlrEOElsC80Ya4/j4sgnIsknyfLGuPFCm1YxHkRchDtyeCcGfz0fVXQBiSXRrx
mxi9gYPjjq3dXfoVj49ymFCFHqyJzpTUH2SZvB1cj+IC0vIobynL362kmJeYKb3Dpbs4eV38JREW
E2GbtD2Nay3T9rDId+4jpqaUoRFiUh3E64XMUA5y24zRdF0OEcSxPPLS2Ngp89zGGczJAxwLtlRh
JzZVrIBCS18QSl8WmjWf2aTNt0J084FbqghnK5Hv+jQo/3n9hbxzhlWe7QHUeCmObN5ha5aFkWUM
6pSLGU56KTgD/m+7muXhfxiJbUg8wyZBruV6EeugW+JG+N0lGVfgeOhYdM6HrMIg6WhnPC07m//e
NyPA4Huhh06xfBNAUa/Kcx0tn4vU5/hoYYL0wQjknkHkvW9GA0o5dSv+2bbTEOR2HjtV21+CTpfO
3w7UtDkshwy30Lz1m+CC1bftHzUisD0QxW3kBsCQ+IndDxmILPx6PQtD4jg7e/1lMqf6z4L3eUlC
DZ6hFmpJYxRhWg8jwkZ5XsjQSjytD7PCSt2dZ+feBoLoQERAe0qJElz/jN40mnQayv7iGI19anu7
+RTPdvfBkVn/9PoOuvdJabCQ+lHfUG5C10ONGWLz2MD0l64IpvghcVLTPS0xCgTH1we6d5th1KiQ
CYpWvO1j9sJAXNxx+KqQN5+TUhvBhXRT9xyYq/zmArfcAd/cGRAdNNqz6vSrhv71zFxNSsgxQ3fJ
vQmQj5X9FaR1EfpJkYFR3gOd3flkXNJUkmmyM79tPdmJkxnIBe9Co1ndp7ToxDEbBv+TsJe9oPHO
J1PvAc0+JboJQvJ6Ym2OCZc5c72AHATYXOhluNST/fbvhTgizw+oC4Ksbf+tKjNjpq/I68Mr/oVa
h6QDlDXme2de3D+QZdujt9/2VKh9/b8Bt91nCSYCxSa3u4yNURKLpJ+asvwiAXODqH4HduvfLnB2
OtD3lpJUhkyGrgNB+OY1F1nNEnoek5Sa0UfrKoMqQlrJeHsJhMtEAd1ABFEJ2d6chhVn9Uj+c+kD
aKlxO2ph3Bl1NK/dXp33zvXJUGAE4WfBp9iaS2nZqvXxUvUX0Vr00n19Xi9BXGRPVbsWz2tujsdK
j/cgIPdGJfOkVgF8BmrYZlN6sePF+ZIOl3r1kkdRDMYpsefxJExbXOxp6B7dudqLWO4PSgeHvh+K
nttyz1wVSWCXcX+p6XA89Z2cQlPEtlK26w9ZzbtbNrudo1vTa9YVXXMANdyaVEk2j4SxWjkQs2a4
TLLr+lOsFe2Tz1J/Qm8c5K7bDDUCFGV96HWrAFPtu8UFQhJebJkD3/z1a/XOvQN4woDlAT9RwTSv
L4M8gTvCk82PqV2AGt1yGAEZRwmWsTuw2juLjaYfYhew1OA6b9/GeJJlPyN4d5mHufyVWXryJ1aM
7TMs/fxjYGk9QUiTPLw+vTsHlL4ZHVbEmTk7W0kcu5uINOxmvGi2LN7Luvae4ZPXO6O85NnXiRBl
BCRnVcUG1d7t3MxgxojTZhXdru2P1WKUiOP3LmINOI/ixZrDWi/loSyy8ZkG5XqoxnI9mGUtTmMl
UAtDhLV625eFWI5/gmowq1Y25cxN+D9Id3bz0RNn3aeyYsVt/ZTLID07s3wj+1ANBfCcbF05DfO3
zVBZmwFQ7bPljCykFpqBkYT81+7pTd/yZRTFlicEYJ2RdbveqiU21pa3dMtZt0o9Sh29PxH6rDsR
/xbJwDBKGA/WChcRzcltaRGKQjH2WSbP1kAV+FIGbdo/zP3qcRfSJgDlbgxD89jatVUdXexKf2Xa
4E6Y4UwCrQpaeL/dMpf1p9pKZVqFYza6Pwv4vNbRsmvvgmOr0RwLSBr9cUh0743WMur3MwPYY/TB
sSzZllDop/pGuzrruV5cKv9wMRJ+gwCVVVnlzsZ/sd75z8ZXg3Gmge7xLLHzt0q4AZVQWx9z69y6
BnwxKmQ98sErOiTsA/r8LrpxQ5k/5hTNzLA0qA+fsATTu8gw80YccBFyfg88RuMfc9W62YdEL6bi
YHd1imyqlsiHYF0nLywMTXwbzbkrSLtKtzfDamx96zhkY198mwypdQfbEaNxslLkShh7zZudyW6u
StpcOvo5WBAprS9Q+5vmQBu7lJixp7pMk4+UhBBjOHrLz0GaYid2ujOS6qogt0cFh5aH+vf/qW5X
I9R7vzKHC6WjjhdY/9PuelpFiXZ4/Uh5/EGbzwcXXlUcqLnBNdw8RS6M3rwtC/tsBYi7wOfJx4PU
9CQqzdj5NFlZ9Xfj9G90eVGbBklrBaO2mB6Z4PX0ZoFGitaa1pkMzHBDG3Tkg4T1V4X2sEvK2bwA
L4PRIYBoD5ODIqlagv+spWMNQ1Dk0j4jGWZxK6fyAJG632kcbZIFRlEeG7wAnDsyoe2U4OubnZd5
9nlFGvPJntLki1Xa/jsnM+Qj9r/zDv/s3ngAOhWZjyPOZryeVVYGCyofiCZkWeyGwJaaZ8PN8idL
JOAN6n5PsG8TXL/Mz6fhgoMINSsIfdfjxWMwNOhEOWd+UfoTpbf51NKuemogKoYN6jzv6c/L04By
/c4ztg2X/u/Q2LO80I6AXm4+4NCYPiRXPAQ7Lev/D3Nn1tw2kqXtv1Ix99BgXyZm+gIESS2kLFve
bxCyS4V9SezAr/8eSHa1CarF9uiLGLG7q9qWTQCJzJMnz3kXl2UZbht/uK9R6rroozDbVYoReSVH
sm3iOzkulw5+DyPj/vxaOVqUs1TY3O92OHziPr+YtU0ODbuihghdOjU3FB6GlQ/vxJPK4lSLeFFG
eHjkWekN0adZrGt5qO5qRy4mERhXFRmbm6WF7EVZkXtZX8jnatVetS0XHpsM97+wCE5UaZ5417Q/
4eyAlYEBsLTXzOC9pEaj4kNZTOZKRGq3ZQkxsEbcIARUhmt47MguJe14Iu4t0dnzgx9cejHN2rKq
TUmE5lUlRL9ulBHJkUQ23uhqaW0mEPYrn9d+2fV5u6pFG2z14DeBVg+3QIyfNbfgPR8RcXXYvklp
x+ZVFGfmRihKuwprcVLrc94sDiMvzS/I6uwmiCXQ7VssKBL6Ao1T+Uoo5mBtusqnyNAIbBDXXRTK
hWsh8Fm6ah0pb/RadIPXNXTOVpVjZc1qMjE6O3GWPX7tEKjoiaAgzmlWXTJaUxXpzybV5Ks6LK8m
ttbhUqutPfkzvt2WcR2jl3Ei1zqOzRQimOfzOAO8WG4/YKxHxDl1BiEz0rUkh4qLkeFwIoIcryZC
JAnqDLekR7GsS09JKmjt+drV2Br9qi3b7qIGy+vlqR9sCgDR6NxP5R06VRTkw+6UQt0TDznvrzOe
SSOtXJ6nxThRuooy/apQCgPNIyfaWQAaTiydJ69CI5y4wxHaXuIDc8XIqlTq9SvybvmSUU/ex0Fi
nXBEesD1LKYtDToyIPY5StTLymKJmzCSeqV1JRdO2l2JKFECJNAEsDY8Gcs6v1alsjb2CDc2wX6M
TWdw9TAP7u3Jiv2buixbmcgV6wnkPKtG4yBcocFV3OcjjmLnEjRC2XCzyrfeh2CAxxVCwNHnSLbR
vBOGIcCQSkkmWzdCSevejUYKTyuUMuLvshZ26oVutQ2CBVJhDr8pJEtgIO4ToBi/h+PBIjYZIfC6
IYj1q0HY+bVA3xwutZV8eX6XOc7I2MHo2NBIQfGDhXgYFyil6iWyA/pVHvjDbZZMzW1gN9DlO6Gt
aTx3m0rKOu/5iz6x9PF8mPGlnKwI74uL6mpg1eqEd26pNOW5amYSZoaadk5eoeMj50TryrHjVdiI
5JQExBPzls4oGyodMWqSy91dTYsIUx4c/7Am6zyUwwwvabNTgrFPX4X9DAFnivvLQCM3zFOw6NbV
0I3pms6Ufon/2qkS9QNnbbE6KCaR21J2n5lmixNCpFRYIoQwwGIkBnGFkcBj9gruTENVb4QZJ1+m
RNZuhl6Obh1e7R17Xeh1Vd3dIaE93jz/Vp+YSvNRmdo8xXnqysvzskixfqsljCuBrF7SFdnXCV5C
NiTSsPWHa0fS4s3zlzzOkahnzaxOWBdQmpaJSxAEpQFFGx20XPL3Tevo66jX6/NcH+QTUf34lfI2
OR7xNqmIorh0uFCi1ggEuaB0lYJ4MN2xtUrVyywzVk+k9sfPxOs0wcNAbWKDPCrX2f5Ac6yWrqRq
GL5knPUT1xKV+sHvnVO6oscLcZ46bBRz54pC0mIh0qOTc2eyuZYf59ZKTjs9d7PELoQHECqsXVmv
onqFaM+oIagfq79pPkWQM8C+cRDk36D3l0mAU0xTHSh5sMNu2nZLKureMIjPvztLuAharRyi6ZZR
CD18dWGUNY2OxOTOqkvTzXSreQ8ddFrlbWieaOI89fIAXzyAEwneS1qKovDOCrwLdkWRqecVVg8b
0WTGZREGyonl9uSlcPMle8LIgWPg4VNpEBg5EjXQ3dv8bRXp5Tml5A+TlYoThdTjmY9cDcjo2TUE
YNJyiyidJg6D2gl2TS1L+0busjsl1HPv+Zd0HD3Y64CfoXX0INKzeEmtHw0JeqLZzsrs2Wa2zT9X
TS2+lY5RXw910NwIFAJPvK7jR5t3WcLVLEmFwtii3Z6NuIQlZgRc0QbLBGOI/wvLzvr2/LM9cRko
lywvMnwectkBG+A5sHM3JaZzNX2NVI+uW7bk7e9fBbQg+wHriDx/HuFfKg8hKU7sC9Axfto2qxIo
5irNlFMkiqNpR/JMUgSOfVZDB7Z5eBU0ZGdCj1Tv1KTzV6nJ3hkoaYIwx+8ilx9MIEBHz8Wvmbu/
DA7g4KoyAZB31XRNc6tNRvm1K7XfBHY8XIV0XSdXZwYc0ag5+3YjJ35U2IKov80nlGGnyGxOZLJH
UwDwCMgsfDRQuCItmIf1l5dTk9AQh9BqaQal8LoyDDxnOqmAdPxyOEhTd+JDbwu86uFVcgRRnFFA
tUI2SlPW0WQmWydztN5TS9xCnp9vT12Mzhm9HIQAZwjz4cVMHU+FWvOdq6ifQvMit9WBSmqejb6r
wsw9EcSPKlCz0+a8S1AUYr9Y7r+lNJXFCJjhytCF6ZppnbiFEa6lIfscjvkpYcWnrobhHico1izd
1sVaGjoJye1g8q9Asqhfh3LAzDMppYuGk13gGoHxm+1rZuHMrae2Tf2DlsbyoCO3rexIQDh3Gogm
T6RVs26NfKzRY27KfEs++ZtyfPMVZ/8ugFqwEKimLyoCURoYTY/PNn6bnXGP6od0U1EHvn1+khzP
+3lNwVsmzkKGeqi2/TLvU9i2Cq0osUPRSX3vlL74BL1InP9vrkJqRqSY6RSLZ8khIaF5BcTAgW2/
xpWaAp3oT2mmHW1R1Id5OXP9ZBbcXFbksAfDC8Fs2p2TT9abRI7EusPH4FKLMXpKzH5cp6XymwBL
XhOnQJrjZC8oSsB8OFxlqV4ZEjrR7Q6xumyjFEnsyVWLYDTMAe/5UZyzvYPjxOJSi9DeGrS8KnrC
OzWzp1vNjHVvDGf0t6JFXpQOyY0zhulFIiX9+vkrH59kWGRzT4cjIWczapCHT4nUn4F2t9ruhq4O
L5IQdJ1upoXX2gnuPj7a3109uUXtW1tRSx2C5/CBavi+YCbd1K6zEzd0HNtIGOlm0W1SoDMsZTIZ
hHKqhrbfKTZuKmA3pTdWZOfrAQnrE/n+E7MKnB8Q5LmfO3fGDx8dEVWhNXo47Lo6TrdwJU03bbre
VYYqxeeqGNedCLUTC+bJi+LePjPVMXBfUgvoLfSphOjODnPM/DIAJrZJSr3bUegXNxbS5d9iOz7V
hzkqjKnAHpBDZs+g7ncEBOIgE2RVkXQ7M5Sz+E0scsNFtOzen02+JjTPVyl63m4LYEjZdoZ1UuT1
ibdKcjk7NyCzNdfVD4faKKKuLpugR3fObzeDNUae6AJOOW0wXJyY0fO6XCwmipqzGpU1U5KXJKLO
obYwjFqP8VRQ524eVJbhBm2UvlWSWd1Giwf/LucpJ7dV1FDy0kZHzn/qBBUmv4oD48Tqfurh544C
7wCuEe2+w4cvW5rcSI7gwpdh/2cZnbNqemnryFm1PfHsc9q8fHamMoKeZNX8e7GazdnIxGyjYeeL
cjDokJRv4/SLmtoGZNsyHj5bDDh8iQizYbfDuMQ1sPM60bJSnnpgDR1E0hPsRxDFPnxgGY5tkXUs
LLWrwdAljtOuSzN09oaaGbsoUL6WmorSVFQM0ec4ERehbL83Az1M3MSuN46a6asyQOVgGwl0DU9k
T08sBhgvvAbEvVgLy0NpO8LHNxJ5YGNsVePSoExsrAT1cMtNjXFS3cio3qvCV0NPR6YocqnPB+OJ
1stTN8GeSYIzCxBQtzkcoggjPqeTmmHHLlQNnmkj55iZwr9QYloxtpO0KxHIf1VWlX7t7QbN1Odn
ynGaRTas08gk4hOJlkcWBJYrIaeEoagt6WKmw7WKEecqI1s9F6U48bRP7G/MA+YChz0aa0sz+qzE
7MGK43FXZWF9IQu/5OwioGa4+hhc23JWugjD17uS3O/UsWkpQDbv46g8wFnEBJGi5xIu6Edx6Fdh
Pu6oi2abGr0Cuio2Ni6xVN5IPgKYWmNgoSGELmwEEqri1pFrnEBip61Vr8DBcKdNfb0N0rZfq5V5
lxdTsdLy8lTGMa+Lxep9xPKQ6Tww5Q8nhS31tYrjByg83s2mRVLDbWJdPxEknph6s+Qwb5/1SWN+
kddoZaeURRiNO4zuwmtJVQFq5IGCtcCkr9s+GdFZM8S7rk2qb6kVtZ+en3kPtuZHT4m0noGjDpSm
ZfqbWcijl+w5gEfaYTv1drBW5VBCOAJN3qrw21stcJL3ASF1ZRtA8+xAKt0wjfRNNEiWZ42W5o6B
oazipB7WNkXVE4vjiT0asjhAAhW1RtQUFwG7jpDLx/Zn3OH/OV3l/TjdDg4aPW6oVRWtSNWvP6ep
cuKgusSWPUxUYtKsqwTEhjLk4euvRJM3XTeOu15yypXRVonbhf3whvt8x9zF/LEs8rVV+I6nW7Pf
dSl370VpDJcddUYQ59Yp7Ysn1i08QezcwdPJIPoWeWndJ9LoR+G0o1lBS1juO06AjtQi3dDEQ7IV
lVVvtJQGSW9LyYfnJ8pTb4GCCn0dk0lyRHmjRNpWKrosu1pWuvtRQ5Ta0sj3a4C4bpk64T5NE+d/
8xKohaGKgWA1lILF6kBnLdXwARt3ttXKu9FWWOptLWR5m+SqjIKywe7hqmEk4wSXDuEHCQ5nfpGg
oGcg+p9Utcuhy/5YYB7/+fkBeSJmkzkhosHNgYpTF28DzTzfQqBi3IFlRbQjjqGsu0po0eeYqmA/
aENTn9grn4pIdBZI2cBEaDSxD6ckzq5yLhkYCk01XhrSkJrvpnbKTtQ5j5EfhGjg/nNwnttTy6S/
iXi23BfjrlCpwHu+bTtrZQzIxaW+qOMLxxLq21yU+l8mmIG/JITOgk0F1Qj8R6sqpxxRnlyJgGVN
diqIuajaHD72YOjoI0vVtKu02BzWUSmbulv2aKqualSXNnLCG7ZxgPzu6FncIPGgyl97a8j2ZlsF
SAJibfKtj6xqPDVST6RW5PEQoTgf8c9lnalxek3yw2ba+b2mfyzQl5CBVRnTust18ghDGbOd0zro
lKD/9C3Ry+2ECtdF5ASUvFq4i58mpARcVMAst0ZQ4MSR6qFvcRjcIVChKYPJCyrt5DeHI1fJQ+oo
eSbvVOqs7WXr+NJtR/0vONeFTi2HHn1ynRNHFTeSnOjWGPL8zyKVjL0wMZKtmrF/jw+zM6xnijJ/
vm4gzleKfmVJKIwCkWn99kR2cjzJD+95/vkvlRJU/k2zKkLueUTxpU4dbYUIonPx/Oo9fnNcxSLd
ou/6RP9zrIMZR+rLOw2cRbxL2B77tZ2XWvpGnkotXj1/ueODPZs7QgAzUhc4IxpQh08FQ8+JA4s5
LE0WWEqtqbSSbTPCc2ayk03TVPuuqfsbyRoLkiEqijMOXepvU3RlChzEBjTEn7+n+ZIHk4McmjMJ
NTZofESVxeQY9HSKfVWbdoBB+sLt8jxd9yBhsDWjqHAlWUVnrSotT2QPmEjUvlf0sLx7/h6ODyfz
TdB+ZkOZoWbL4mk1mERsNBl2RYkeqdvHeHa5gZZtktAYKG3qUreTDDXljGYPqwQxqwuErey1FVIC
jRuJ+og0ph+GMSq9cEAh/fn7O5qM3B6eORBt0Tm06dItXluMvqffNfIuZd1mrhbGqeEi9qIN3vMX
Otrb5ws9iJJBP6RivZgftiwlU4Sg7q7o05REI/seDMMnqZLuhVF4AJs3ppxvnr/mMeyLJhaXpa4G
fJB8fLGFmX6KnTRc6N2oAFNfNa3UfjCKygcp0vkCg86hrd6Q80oZoLdYi90p08zMHeFeyiee/3jT
4V50xplQSscXrMfhSI9amNOkGeVdpTeOeCOFJFCXCrvotYjzwNlknPtirzX1wV+DISsNVP/B95AK
tuAO0QXWPz0/Ok+8ejJizio0/OY+zyL/C4pWLWGKKLtaa8SV78jt29gYnVOn83mVLVYhhSfyb2YX
U22pAqm0dTsU5KG7se/NP80mB14f5lJXenkSGNlKCkcRXcp4Gyie4FTuryacMb6GjTM67tCONDjc
OFdLTDtqqEqn2AwPXJyD+6PsSv0GciWnICbJ4r1QA5PIArpkH2dKaqzLXhmlGxWtLV/H1rHHh1xR
u2G8yfk9RAWdGEO2jW+Ril4VYIuTtWxJo1inQPsh4SeJXJ2LEM/HT60IxsHLyiztP0ZarPcb1egl
6Tb17U7c22Mx1XvHjyyjcWM1EsV3ocW0ilxkaQyj9gK8iLIJGl2v5V6Q1zjdm+OUDN9M8BXBtcDr
ot3lTZJJJ8LmcShnx6d0RCrMtooMymJiRKU5qGIIor2djCoQQiR//tQTU/syTHEPPrNThQKi2nBA
POtSrH0e4xGGe6UFceapjRJmt1BjhHYiVM0v4vBFzSU20JNz04vptAhVMCr9uIpSvMSssH9TG03z
lS4Da1kxpd55E1qDrGFfgx3h+fML5Sh0Ud9CnIUDE9BKkBqLGSKP1JaCXA33bQiP+Vz0ZWBvU2TY
sBTTRQqS0Wn2UKgCgYM8Wqon3sfROqWQChib/9GTgMS52MbSviBxMs1wL1KnFy5Go9171SpOcQOO
h5fZTzrMJj7rpy+R5lbBNjMYcr7PESm3V1rr9NVbOUG69ftoh/lfPieVO9ymsGN4fniPMhW2aFoB
sHuIDqAI5+f/JR+ahX3UIkJipRwi+6KSHGlbYDe81Y1COpEUHQ/lnA1Q6Yc4Ci5sqVrkdH1m02Qp
9qMwx3MVB9RtiD649/wDHV/FmLXu58tQ8KITfPhAUpiqhWjrYi9XqQGfaLC8QqvKE7nv0fEMVuP8
DMhksCyO6kxNN/lOojbFvtWdYouKYrvt7Vx/b3Wds1YVibT7+cc6SqdmGiWFHAX0NojeJYZIdeyi
TbVW7Mn1VTxFOaViYKaBqdyMRmT6b0hEo+JdAO1wWKNhZPVfa6cKq1NEquP5AkwFSiznJKjoYG8P
h7ebHE0gsVfuqewW57JQR38Do7pU3NZSTtIEnhjmuXMyy2pAL8QI7PBqhpr3lGlDsZeYUuu8yqrz
3B6d8y7Q1NhVQJoqJ6bPE883c5upmFG8BIazmD5xUugjUFexD4bYxDMnBhjvxFb92bCk4a/n3+kT
U5V8ZIZ/gYoBKLm4VmsPcjTKstgrkSaala4FmH7Kakul/vkLPTWMdIaBpc9d9qPqSqxgkAj2SOCU
GskrDRuyHaUpca22DZ2BpB/GExd8chSRUn3Ug6AAefje5Lqz7Wjsxb7oObCDLZYv0a6cLk2bVPP5
Z3vyUiDP9DkwkkQv9gcL3/p2MoTY975jZqtplLXSqwwncC7Cxuo/P381iubc+sFGCD6RNNKeIX0z
k3qxACASpn2OLdIeQWRcj52V0JTiDTq42Q5j+8LTEHr+ZJvSTpL7uxgS/TqbnHwzCsr6I1nmyp6S
7npoATq4uJN23/RJmPf9mK/GIbFWYZAqFyGULTfXRF+vMMTgYKBGCSZpheJqbRpuRZaiCdrkTvQp
VMadaDTr2mlNhUO+JLlFPvv0Jk66p6Q9XA21br+porBak+12uCR1u65s6OpKfjrux6QVazk0bfSt
LBT/pjH8FI2KKOic1e06CEJsctrW46u6jdpKX7I6vjb9fDgvZSTa+shvUzcSVha6VlBXe4DkSuDF
mp29yzWjukL0JLlKBl/e5kY1Eilk30Uy803u2+mauxr2NqbUm7JNxrINL2heDsGnmCr+LTKAwzdF
ZH7ilaOT7OpZyWdVhn1tXlvQ8qN3lg/y5rI0JwbLQTXb+WDgGRN74AF5PXN37n2fd0rnpkWqlufO
aBXfqqEPQ7eSS/yzCkwuk82YmZSo3TBTU97IlJPZMd56LvbQvJXJuYwCycqxJRLWd1vv4+jcHrpZ
XaHJur4K9w1b8/jelKG6n2O2ovufIPlFtblqY5QljJXcKk1/blhJ+Vc3GEB17XAI9Q0qZkOxbZRZ
0UyOkjDaTKD7yd3gInEiZmlVa1/COcDTxrqPNmiNiWkNU3a4kqAI3altVWLWWZDudVNlBptQ6dVh
1VgNGsl9Mw6qJ8eyXayMCpiu66DZjKeK3NcyusldKs6btA7zq8HB2+ncaCJ18DghZPn7HrZgs6V/
3KFd6KdUwlGrMEkQcL2QdyC4DGWb5nGGF1gZlyo0C1sK6k9NGlfSe81P+r8avdKMDznhqM5WOh23
ZKUUcu1sQiexui2QezLrTk0hlo6aXQuKbeyxG5wLunyt9EmBEFnf2l9UPUODAaRSm7hVaZa4DVEB
S9adIZx3ZS7kZBVVo59hv+ZHhas7QZ9uyz4p2w86ROzpSxTWY/ROpG3xtcNMaDwXIhpjLy/r2nSt
wiizt35tZdByotiCoGKGFcU0fYw5ABhouQSVGydtrK6wCldDToR1mn7VyjAXLr2BTmvdrqejgKR5
3N4ioGTrl20SpB/7IQ2A80Lwqm9KUHtaCpBCURsuMytnaXU2QolFdc6/DGpMxfZGXVrmvIJ8u7ls
DFxS95NeUBGtGwtPoigy+36D5vCYXvuxH7YfJLuQ/yJNr0IvNDi1sYDwp1vbihgTzC7krno7aGPV
3NZOUzazumYq93sseITm4j2kd27GaWa6tIpYLldTYVD4NoU9K2lhl+7UvouiT5dc2NPARLJRujFL
KoqTRvm5yUzpKkH9y35b9IMWjhAYgtTySMi64k8d2IrzIYybMvTEZJbmSmrkUaaU3rZo8g1WD4MZ
C+rtmBh2/6evZEV6LcVcFIcQNRCbvseeXtV9mw0enmxMizgO4/hjADA62+ix3nUutve4C/lIKnwK
x0BUrmFFYfsG++Exd+Ux6dsrBOLyZCuRa0seJwRjhDPd6tZbc0Q4bYW6o265stXoYj3y3hrXmaoq
vtQTK2u9VM3KYt61EhJvIy2CdWrq3bQdRZNmOx8FMsf1Y00VF21lqP1+jFQUHFojw81JQb0Kqkse
Vz4MyrmSEU2lrN4YJpNiFflZgOuzjuPaVpbHMrug4o4TWTtRenBNeNQf0QSk4mBKIbRuKZX19gbz
I02Gn96rzsqpnTrbIXigSe8KWY2qt9xILX3uO9jre0vxh3CdM8HNc6tMtcmjltKoHq/a1typSqZP
RoDwXsHrDfWQaEHpe2XV+misLGTPe9aA76vGCivj2vCyTEG/mknft2urj0d7W45Dk3qSLMroxjcV
KSeIxu3o2qDZ+63QoZu5FYfQxs2behI3o6LDjlIGZP/cXNTEupovK87HWXTwIldiI7vi3Q3p+VRl
VIB7p8w+BgOpLItKMFmTsqo+tnHsZF4h58JwQdLXXwViQZ8D2/LltdWghoQyIsT7q5KGDA6FgUrM
jwaAfsjLlWG2DUdoGC5noBrKeZHDUZLSzhwvkI8LOxZ3UWDSUBSR7DagML/IotLrlTCgS57L9TDo
Xk+YlN8Vfkm/IhmKMXSjdPZKtnPkMN0hi9JpPYxmZbxN7GaML+qkbWAqtZ2kDfRWRwnlOj2M23Bl
Np2TfIv1Vq/3peTgyUXQ8oWLup7dbAyt0HZFBTVicuMxH0vXHvIW0dXBn6RNXWb69E2J7aTcmINv
fekKo6g9PMQo9qqyaAdXNLqfI02Fj+wWnYhQdRUh51BVRrxt3Vod9HdTPuXZxuAObyfY/fWXclIQ
M4BcBYllRehIi40Mf+dTJE9ZQQSapvwmaHD5oEoHicejS1kHW9BhCcCNPhrLdcwozCsoCUZXGsrK
WWGaRJt/7JrhSwVSZtgUFiInq65QJiwy895RbyEqtNnbDlWvsgJjmkXJKi+iVvIC2NH2DoK69nnq
DR3VemGN1xlSnwA0U03rPuJtMtSXzdQl7efGHEPdnYJWqi+ARFm5GykD6I7KNsJ6DYo3SbfIIsWR
N5UCjgftx3a68NN6ij6PuWxVm5rWarRChaqd9r3etf1GtuvK9no9cMZrQyudD5Ye59W5XypqfTtQ
wTRXamn41XllzabOZeEj4wKU1e7eYroSp5tEsifpis1EfEYNGht6p0gifEMpknynjBSHXs1g0842
0FI8T4JJFNdqbOXWF45/pAhaY2n92uxKqd1jeKfm28DGj2411fgerAejSBNCklYEe1AMGX4SrE7r
HB6knK6KIdDVDYpspIJ0O7ppPZGpzN1lelorOyuN0K0HTZ+2eqkG6RtVa1Cu7PKgqy+cuhqVS2cK
LWyacgXk+cjUp6swiqTehLKRm56sJGW3TZuJ9EXEavBxsJkWl8x+IHVySGVtjZtaOl7hqtdVm0GB
Cuq2SREm73xNi/ZNZinlyvS7mLDha2OKo6fSFgxOL3xo0HPfjV1PCz01K3ye1rbymz5C43UT6ZOa
bXWFJGwTtE7RXpaC7HadBqGQbvE102xPr+tQSlzEKDoSPaxZHH9a9WqYjneBU8dO5DaphCeT1CWF
WMWpQEcDDnghNlJV0lKtbNxTV1Yjgt4bFF+SPuqTH3wL4kZVb6VQVJ8UX0HL35ONcajPTWgbuHyH
UTFeRn2kfK4kHdyX31Ktc53a9IcNSXg5vnEyHYOYKs+rd41aOM5FgPld7pLg1eUaeL6ZbxBHDVGO
04zUYeMq248Gdb9LJfbN+AJqfgNfjxFJtkPKzEdAsK96L82N7LvSy7nhDXEz6OdFO0kfZBIwy2Xq
GoPXToqdrwYz1qS9NMhZtNFE0VwWWpz6m1SWtBEjiNDI4dpLeYPDS0UYSCcdm6XAkIdsHRKOnUvk
UUqivZ+1+YXJvG/cSakGJG+0JLuR1NG0ScBIf/e9pgjNSzntja6Z9IHBP4vBBFna0GIZ69CxLgMq
9borSal6ixeAFp/rZZJbrjQSfa7KaTQdVy9RaGSZkAhveVOt71HW6ZSrIvP18aqZaqyhBltDXcI3
xMA8s6aIKYP2IZGoHkR2aapWWVyQcDTFKsZ6GecLv+nvk0m1+q0y6WGw8WmqT645NGa1SUQWaese
/d/wLWsh7raiDWkAJTgc2RzGsqnY5UowpNtsVrFxsahEaWqFHmn3VouUJP7mozTVekotxeGwykoh
boogEV/HMNbRCDQjvxQEAq2xrwpgsYFLEVXC6pezZOxv4NPNh8OinuSQfXzsoutEdlrazz290ctR
5dC1pRbi+G8cEipt4wyyE3hJHk714AId86v9EGkFuRc4kngtjxCvz5sCN0FQHIgSap6hRlO474pa
CC/OGmtamTGoyRW/ndXXs2WatiWFgwBMzmhHl5AMsGM11YbObWxN+q2eiD7fm3EvhrUak6J8huwu
9JHegGQ69zGdtGavRaEBGbhv0whAlZwFcMDBWUpD5YKgKFu6j5lT2y7CFl3yHWTgJN4+nNH/8/vw
X8F9cfN4GK//8d/8+ntRjhVOVs3il//YR9+roi7+av57/mt//7HDv/SPN+V9fttU9/fN/q5c/smD
v8j3/7i+d9fcHfxinbM9jm/b+2p8d1+3afP8Tx/vlAeZv+imQODtPVj5xVf8W3/o4WH+5Rf9cf/w
pe/H8v5//uPuzyzKvahG4uh78x8/fnTx5//8ByVnuCzqL0WQv2/r4Yme+5b0jrtu/+Tr1TMQKmAA
EJd4/FDER0Mt+PFjxzkDeUb/AJL1w4cy3n8ejNK/GofnH/HncD9OjL9v/GA8n3uAxxGah4HOAp1K
h6Ir97X4ut8YB0k7m5FEjAI16J9P+stAMAZnFhgr5Pde5xDQCHjpEChnwHtm/DydkoNHl89QK5tL
ZlTwXtfbnxfBA8LqpS8fDNEsl8py+vXJFecMjjqUA40heV1Pzrwnm55v+EWPLp+R4dPGBWX683M4
BLJyps+WmJBAX9sQPEbAx9t6wcpXz5ACgYoAC+vJlS/rZ5DnaZg8jvUvm8n/dewDDQI4F/0EOpy0
AkHnUfJ+0XSQlDNslA34dYiYPXyIdr+uCE05A3E7A7QfL/WKRkNBqUiDH0VZ/2VjoJ4xArMN8s8V
QWQ9GAPtTIdsBhn2x6b52hYGehozS+qlo6Bb7Ig6MJenZ4J9NgNzjIeeFJd6TTNhzgkeqJQvGwL7
zKDEwYZ4+P5VmY2S36Ub/jhDXtv7BwE+Cyu9dAZYZ7Q3ERUCXf/kDFDkMxmg5Cwd//pGAJnwucP9
sgmgz5FgdtJA/+Phs5gJsnEG3n7mZT7uHa8uNeTeACK9eIu0zuA/U3c3aNH+GgmZATS/YS+TgD98
Xts8+LknvDRNktQzC4zOzK0/HAHZZD9kkvCDhzXy6mbAw/kIK5iXLgXSQM5Gs+zj4QAo2hlYyFnQ
mZPj69oG5jAII+LlT870RmMTPOyTYVDWztgKgBLN+huvbQQ40sxorZeFQTJkEBOzkt2PD994EAaM
szl5Rp4Ip43589rGgVTNAMLzslGQz0AqqXOq/fdnMQxz8gxfE2bvqxuAx9x4htS9eBBmsXjgbH9/
DgeB0xJaJ7OC/2PIeU1p4Y8DwosjgnkGV0ezwSr+GITFtsimgPI5hi+vMSYqs9LzS6eBdgaOykYW
6umyIaKMZwBvZ6mlVzcLHpPjx0rWC6oG1nwGgK/5L2OiyoYJ3IyS2qsLBg/Ho1mm7EWxQD6z7FkV
ndLDjw9PerAtmGezJCnCi69uEvzIC2cDvZeOAXJEwP2hbz1+FqFAZRpwhJgdVB4G6fXtDI9n5Rcf
lWxmw0OW8HNn4EkPJoN1huoa9o4oi8yfVzcQD6XkWUf9hRMCuDMiLj/jIrP/cBxUnSQBNwjShFcX
F34kCY+r9QWxcQ59sMZ0ZBd/fA7HgLI6ZgoQiWeyF8P9mnKEx7L6i7cHMgD4erN90sNsByl+OASk
CEilzm6nr3Ya/H9YCpwW0Un4OQQyKfivIUG1ziCVQMZ4fcHgR3fl8d28YCVoFE5Uzk7/jAeHQyCr
Z5zPEC6DRvfweaXr4cUhwT6DwUhaiErH42exHhSDRjT/eYW1RGzqaPpSBsdog6IiB+HHqPWCaWGe
US2i6TSbvDx8FqOhzW13+iyzedOrnBacANnMwQXQAoCXwn9fGjE1KqlU0pgAhytEIYlEaoIz9atL
Ih9PEi8NkxI7ARRfcoIfK2M+NP4aJmWOGij+WeTSrzA6zOCLl2bROlVkGklUV38MwWES7VjMDRYD
lOu/V8uryxpoOP1oib4gLtCNJyuY68w/4sJR2kDriZQBseTHc+f/1Yz4XrR5M6OmgqjIf0UlwW98
mKQnB2HxDf9EJEky/Xj0ZUgQfw7CMiToVB9g3xnqj83k318W/0am+TeAaxVG6Z8P+K7ovv4FJHby
D/zEIR1/wS/wrXmgDv7gDPd6/Op/wr/+cYD+esiTf/nhz7z54To//vqPBzy+9MG1fj7Vz988j+6r
u+o7hI8H5NmP27y+y0CIfbqvmz+u7tIou8ubu8OX/VhW/ectHcHV/j5LPXeFm7uyvft1Ev3oX7/0
e2/L++/RXfrH4yz9o/jrjy9FMN4ld1VzcLm/m2QvveB1UTXhH7dtdtf8P9auYKdhGIb+yn6AAzdO
SBQhYAIOjB8wIyrTQje1hP0+z0lM6eIVJOc6bX6zHTtO/JL0UwSUuJGrZ0VY7cIcAsoIK4Lo4Ong
ho3IE8Ih5in5SKUn/svfosQJCL4wy6rFI/mwDSIn/fu88WkV/UAf+9C1R7JTt9kqO1lGDza8ppl6
OVaQG0JAL+nraIQyZQBFnFX6NQT0CDodAJshVoCYj3TpFcbmkj5ej0Z9biJa//fV2r2L9r+Iq6id
rJLjqHHs1VUoY2okyFpxouWV7JZbzBV8K4NHj4CxlW3VJIbALEgFt4gyJ50SKbtWVaJTnsJAixfX
tS1NJ55kMibCWHGiyf7CObfjPG9okrehQea5WjVoYJ9t8Jr0CvOmFBtr2m8+J0XHsqw4slIV0m2D
wkyMnrMKmwsLKKu52BGL+8FT9zaItIgwtpKtEDmhKDlr3Im2YtzuejyTSH6n6VAhylO9VNYb0mGq
MCdFMxVFslCbKsR2g8reTSv75ADecbA6AMLbLZ01zuNMSdfODCmmEVrRkjv01K5uWlkB4+R74DVS
4SGVnm3Fk1mlRON7tnBBHviKOBoPNhK/AGNFu8MJLc4AinJ45A2nMnE74QXuUsIVVEwqsMKl+ldT
rdyBncfS1sE/jaZydSznkbSfTZf+/I21d9RffgMAAP//</cx:binary>
              </cx:geoCache>
            </cx:geography>
          </cx:layoutPr>
        </cx:series>
      </cx:plotAreaRegion>
      <cx:axis id="1" hidden="1">
        <cx:valScaling/>
        <cx:tickLabels/>
      </cx:axis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20</xdr:col>
      <xdr:colOff>0</xdr:colOff>
      <xdr:row>50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PetaProvinsiUnitKerja">
              <a:extLst>
                <a:ext uri="{FF2B5EF4-FFF2-40B4-BE49-F238E27FC236}">
                  <a16:creationId xmlns:a16="http://schemas.microsoft.com/office/drawing/2014/main" id="{896F470A-43F0-1846-B048-CD97FA0C3A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000" y="622300"/>
              <a:ext cx="14033500" cy="895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Profil%20Pegawai%20ASN%20Kemenkes%2012%20September%202026.xlsx" TargetMode="External"/><Relationship Id="rId2" Type="http://schemas.openxmlformats.org/officeDocument/2006/relationships/externalLinkPath" Target="/Users/mohamadarifmujaki/Downloads/Profil%20Pegawai%20ASN%20Kemenkes%2012%20September%202026.xlsx" TargetMode="External"/><Relationship Id="rId1" Type="http://schemas.openxmlformats.org/officeDocument/2006/relationships/externalLinkPath" Target="/Users/mohamadarifmujaki/Downloads/Profil%20Pegawai%20ASN%20Kemenkes%2012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tail1"/>
      <sheetName val="Analisis Jabatan"/>
      <sheetName val="Jenis JF"/>
      <sheetName val="Laporan Data"/>
      <sheetName val="Peta Provinsi"/>
      <sheetName val="JF"/>
    </sheetNames>
    <sheetDataSet>
      <sheetData sheetId="0"/>
      <sheetData sheetId="1"/>
      <sheetData sheetId="2"/>
      <sheetData sheetId="3">
        <row r="1">
          <cell r="E1" t="str">
            <v>Provinsi</v>
          </cell>
        </row>
        <row r="2">
          <cell r="E2" t="str">
            <v>DKI Jakarta</v>
          </cell>
        </row>
        <row r="3">
          <cell r="E3" t="str">
            <v>DKI Jakarta</v>
          </cell>
        </row>
        <row r="4">
          <cell r="E4" t="str">
            <v>DKI Jakarta</v>
          </cell>
        </row>
        <row r="5">
          <cell r="E5" t="str">
            <v>DKI Jakarta</v>
          </cell>
        </row>
        <row r="6">
          <cell r="E6" t="str">
            <v>DKI Jakarta</v>
          </cell>
        </row>
        <row r="7">
          <cell r="E7" t="str">
            <v>DKI Jakarta</v>
          </cell>
        </row>
        <row r="8">
          <cell r="E8" t="str">
            <v>Jawa Barat</v>
          </cell>
        </row>
        <row r="9">
          <cell r="E9" t="str">
            <v>Jawa Barat</v>
          </cell>
        </row>
        <row r="10">
          <cell r="E10" t="str">
            <v>Sulawesi Selatan</v>
          </cell>
        </row>
        <row r="11">
          <cell r="E11" t="str">
            <v>Jawa Timur</v>
          </cell>
        </row>
        <row r="12">
          <cell r="E12" t="str">
            <v>Sumatera Utara</v>
          </cell>
        </row>
        <row r="13">
          <cell r="E13" t="str">
            <v>Jawa Tengah</v>
          </cell>
        </row>
        <row r="14">
          <cell r="E14" t="str">
            <v>Jawa Timur</v>
          </cell>
        </row>
        <row r="15">
          <cell r="E15" t="str">
            <v>Jawa Tengah</v>
          </cell>
        </row>
        <row r="16">
          <cell r="E16" t="str">
            <v>Jawa Barat</v>
          </cell>
        </row>
        <row r="17">
          <cell r="E17" t="str">
            <v>DI Yogyakarta</v>
          </cell>
        </row>
        <row r="18">
          <cell r="E18" t="str">
            <v>Aceh</v>
          </cell>
        </row>
        <row r="19">
          <cell r="E19" t="str">
            <v>Kalimantan Selatan</v>
          </cell>
        </row>
        <row r="20">
          <cell r="E20" t="str">
            <v>Banten</v>
          </cell>
        </row>
        <row r="21">
          <cell r="E21" t="str">
            <v>Bengkulu</v>
          </cell>
        </row>
        <row r="22">
          <cell r="E22" t="str">
            <v>Bali</v>
          </cell>
        </row>
        <row r="23">
          <cell r="E23" t="str">
            <v>DKI Jakarta</v>
          </cell>
        </row>
        <row r="24">
          <cell r="E24" t="str">
            <v>DKI Jakarta</v>
          </cell>
        </row>
        <row r="25">
          <cell r="E25" t="str">
            <v>Papua</v>
          </cell>
        </row>
        <row r="26">
          <cell r="E26" t="str">
            <v>Kalimantan Timur</v>
          </cell>
        </row>
        <row r="27">
          <cell r="E27" t="str">
            <v>Sulawesi Tenggara</v>
          </cell>
        </row>
        <row r="28">
          <cell r="E28" t="str">
            <v>Nusa Tenggara Timur</v>
          </cell>
        </row>
        <row r="29">
          <cell r="E29" t="str">
            <v>Sulawesi Utara</v>
          </cell>
        </row>
        <row r="30">
          <cell r="E30" t="str">
            <v>Sumatera Barat</v>
          </cell>
        </row>
        <row r="31">
          <cell r="E31" t="str">
            <v>Sumatera Selatan</v>
          </cell>
        </row>
        <row r="32">
          <cell r="E32" t="str">
            <v>Kalimantan Barat</v>
          </cell>
        </row>
        <row r="33">
          <cell r="E33" t="str">
            <v>Lampung</v>
          </cell>
        </row>
        <row r="34">
          <cell r="E34" t="str">
            <v>Gorontalo</v>
          </cell>
        </row>
        <row r="35">
          <cell r="E35" t="str">
            <v>Jambi</v>
          </cell>
        </row>
        <row r="36">
          <cell r="E36" t="str">
            <v>Maluku</v>
          </cell>
        </row>
        <row r="37">
          <cell r="E37" t="str">
            <v>Sulawesi Barat</v>
          </cell>
        </row>
        <row r="38">
          <cell r="E38" t="str">
            <v>Nusa Tenggara Barat</v>
          </cell>
        </row>
        <row r="39">
          <cell r="E39" t="str">
            <v>Kalimantan Tengah</v>
          </cell>
        </row>
        <row r="40">
          <cell r="E40" t="str">
            <v>Sulawesi Tengah</v>
          </cell>
        </row>
        <row r="41">
          <cell r="E41" t="str">
            <v>Kepulauan Bangka Belitung</v>
          </cell>
        </row>
        <row r="42">
          <cell r="E42" t="str">
            <v>Riau</v>
          </cell>
        </row>
        <row r="43">
          <cell r="E43" t="str">
            <v>Papua Barat Daya</v>
          </cell>
        </row>
        <row r="44">
          <cell r="E44" t="str">
            <v>Kepulauan Riau</v>
          </cell>
        </row>
        <row r="45">
          <cell r="E45" t="str">
            <v>Maluku Utara</v>
          </cell>
        </row>
        <row r="46">
          <cell r="E46" t="str">
            <v>DKI Jakarta</v>
          </cell>
        </row>
        <row r="47">
          <cell r="E47" t="str">
            <v>DKI Jakarta</v>
          </cell>
        </row>
        <row r="48">
          <cell r="E48" t="str">
            <v>DKI Jakarta</v>
          </cell>
        </row>
        <row r="49">
          <cell r="E49" t="str">
            <v>DKI Jakarta</v>
          </cell>
        </row>
        <row r="50">
          <cell r="E50" t="str">
            <v>DKI Jakarta</v>
          </cell>
        </row>
        <row r="51">
          <cell r="E51" t="str">
            <v>DKI Jakarta</v>
          </cell>
        </row>
        <row r="52">
          <cell r="E52" t="str">
            <v>DKI Jakarta</v>
          </cell>
        </row>
        <row r="53">
          <cell r="E53" t="str">
            <v>DKI Jakarta</v>
          </cell>
        </row>
        <row r="54">
          <cell r="E54" t="str">
            <v>Jawa Timur</v>
          </cell>
        </row>
        <row r="55">
          <cell r="E55" t="str">
            <v>Sumatera Utara</v>
          </cell>
        </row>
        <row r="56">
          <cell r="E56" t="str">
            <v>Sulawesi Selatan</v>
          </cell>
        </row>
        <row r="57">
          <cell r="E57" t="str">
            <v>Jawa Tengah</v>
          </cell>
        </row>
        <row r="58">
          <cell r="E58" t="str">
            <v>Kalimantan Selatan</v>
          </cell>
        </row>
        <row r="59">
          <cell r="E59" t="str">
            <v>DKI Jakarta</v>
          </cell>
        </row>
        <row r="60">
          <cell r="E60" t="str">
            <v>DKI Jakarta</v>
          </cell>
        </row>
        <row r="61">
          <cell r="E61" t="str">
            <v>DKI Jakarta</v>
          </cell>
        </row>
        <row r="62">
          <cell r="E62" t="str">
            <v>DKI Jakarta</v>
          </cell>
        </row>
        <row r="63">
          <cell r="E63" t="str">
            <v>DKI Jakarta</v>
          </cell>
        </row>
        <row r="64">
          <cell r="E64" t="str">
            <v>DKI Jakarta</v>
          </cell>
        </row>
        <row r="65">
          <cell r="E65" t="str">
            <v>DKI Jakarta</v>
          </cell>
        </row>
        <row r="66">
          <cell r="E66" t="str">
            <v>Jawa Timur</v>
          </cell>
        </row>
        <row r="67">
          <cell r="E67" t="str">
            <v>DI Yogyakarta</v>
          </cell>
        </row>
        <row r="68">
          <cell r="E68" t="str">
            <v>Sumatera Selatan</v>
          </cell>
        </row>
        <row r="69">
          <cell r="E69" t="str">
            <v>DKI Jakarta</v>
          </cell>
        </row>
        <row r="70">
          <cell r="E70" t="str">
            <v>Kalimantan Selatan</v>
          </cell>
        </row>
        <row r="71">
          <cell r="E71" t="str">
            <v>Sulawesi Selatan</v>
          </cell>
        </row>
        <row r="72">
          <cell r="E72" t="str">
            <v>Sumatera Selatan</v>
          </cell>
        </row>
        <row r="73">
          <cell r="E73" t="str">
            <v>Sulawesi Selatan</v>
          </cell>
        </row>
        <row r="74">
          <cell r="E74" t="str">
            <v>Kepulauan Riau</v>
          </cell>
        </row>
        <row r="75">
          <cell r="E75" t="str">
            <v>Jawa Tengah</v>
          </cell>
        </row>
        <row r="76">
          <cell r="E76" t="str">
            <v>Maluku</v>
          </cell>
        </row>
        <row r="77">
          <cell r="E77" t="str">
            <v>Sulawesi Utara</v>
          </cell>
        </row>
        <row r="78">
          <cell r="E78" t="str">
            <v>Sulawesi Tengah</v>
          </cell>
        </row>
        <row r="79">
          <cell r="E79" t="str">
            <v>Sumatera Utara</v>
          </cell>
        </row>
        <row r="80">
          <cell r="E80" t="str">
            <v>Jawa Tengah</v>
          </cell>
        </row>
        <row r="81">
          <cell r="E81" t="str">
            <v>Aceh</v>
          </cell>
        </row>
        <row r="82">
          <cell r="E82" t="str">
            <v>Papua</v>
          </cell>
        </row>
        <row r="83">
          <cell r="E83" t="str">
            <v>Jawa Barat</v>
          </cell>
        </row>
        <row r="84">
          <cell r="E84" t="str">
            <v>Sumatera Selatan</v>
          </cell>
        </row>
        <row r="85">
          <cell r="E85" t="str">
            <v>Kalimantan Selatan</v>
          </cell>
        </row>
        <row r="86">
          <cell r="E86" t="str">
            <v>DKI Jakarta</v>
          </cell>
        </row>
        <row r="87">
          <cell r="E87" t="str">
            <v>Nusa Tenggara Timur</v>
          </cell>
        </row>
        <row r="88">
          <cell r="E88" t="str">
            <v>Riau</v>
          </cell>
        </row>
        <row r="89">
          <cell r="E89" t="str">
            <v>Sumatera Barat</v>
          </cell>
        </row>
        <row r="90">
          <cell r="E90" t="str">
            <v>Jawa Tengah</v>
          </cell>
        </row>
        <row r="91">
          <cell r="E91" t="str">
            <v>Jambi</v>
          </cell>
        </row>
        <row r="92">
          <cell r="E92" t="str">
            <v>Bengkulu</v>
          </cell>
        </row>
        <row r="93">
          <cell r="E93" t="str">
            <v>Sulawesi Utara</v>
          </cell>
        </row>
        <row r="94">
          <cell r="E94" t="str">
            <v>Kepulauan Bangka Belitung</v>
          </cell>
        </row>
        <row r="95">
          <cell r="E95" t="str">
            <v>Papua Barat Daya</v>
          </cell>
        </row>
        <row r="96">
          <cell r="E96" t="str">
            <v>Papua</v>
          </cell>
        </row>
        <row r="97">
          <cell r="E97" t="str">
            <v>DKI Jakarta</v>
          </cell>
        </row>
        <row r="98">
          <cell r="E98" t="str">
            <v>Sulawesi Tengah</v>
          </cell>
        </row>
        <row r="99">
          <cell r="E99" t="str">
            <v>DI Yogyakarta</v>
          </cell>
        </row>
        <row r="100">
          <cell r="E100" t="str">
            <v>Kalimantan Tengah</v>
          </cell>
        </row>
        <row r="101">
          <cell r="E101" t="str">
            <v>Aceh</v>
          </cell>
        </row>
        <row r="102">
          <cell r="E102" t="str">
            <v>Papua Selatan</v>
          </cell>
        </row>
        <row r="103">
          <cell r="E103" t="str">
            <v>Riau</v>
          </cell>
        </row>
        <row r="104">
          <cell r="E104" t="str">
            <v>Kalimantan Tengah</v>
          </cell>
        </row>
        <row r="105">
          <cell r="E105" t="str">
            <v>Papua Barat</v>
          </cell>
        </row>
        <row r="106">
          <cell r="E106" t="str">
            <v>Aceh</v>
          </cell>
        </row>
        <row r="107">
          <cell r="E107" t="str">
            <v>DKI Jakarta</v>
          </cell>
        </row>
        <row r="108">
          <cell r="E108" t="str">
            <v>Sulawesi Tengah</v>
          </cell>
        </row>
        <row r="109">
          <cell r="E109" t="str">
            <v>Kalimantan Barat</v>
          </cell>
        </row>
        <row r="110">
          <cell r="E110" t="str">
            <v>Nusa Tenggara Timur</v>
          </cell>
        </row>
        <row r="111">
          <cell r="E111" t="str">
            <v>DKI Jakarta</v>
          </cell>
        </row>
        <row r="112">
          <cell r="E112" t="str">
            <v>DKI Jakarta</v>
          </cell>
        </row>
        <row r="113">
          <cell r="E113" t="str">
            <v>DKI Jakarta</v>
          </cell>
        </row>
        <row r="114">
          <cell r="E114" t="str">
            <v>DKI Jakarta</v>
          </cell>
        </row>
        <row r="115">
          <cell r="E115" t="str">
            <v>Kepulauan Riau</v>
          </cell>
        </row>
        <row r="116">
          <cell r="E116" t="str">
            <v>Bali</v>
          </cell>
        </row>
        <row r="117">
          <cell r="E117" t="str">
            <v>Sulawesi Selatan</v>
          </cell>
        </row>
        <row r="118">
          <cell r="E118" t="str">
            <v>Sumatera Utara</v>
          </cell>
        </row>
        <row r="119">
          <cell r="E119" t="str">
            <v>DKI Jakarta</v>
          </cell>
        </row>
        <row r="120">
          <cell r="E120" t="str">
            <v>Banten</v>
          </cell>
        </row>
        <row r="121">
          <cell r="E121" t="str">
            <v>Jawa Timur</v>
          </cell>
        </row>
        <row r="122">
          <cell r="E122" t="str">
            <v>Kalimantan Barat</v>
          </cell>
        </row>
        <row r="123">
          <cell r="E123" t="str">
            <v>Jawa Tengah</v>
          </cell>
        </row>
        <row r="124">
          <cell r="E124" t="str">
            <v>Lampung</v>
          </cell>
        </row>
        <row r="125">
          <cell r="E125" t="str">
            <v>Kalimantan Timur</v>
          </cell>
        </row>
        <row r="126">
          <cell r="E126" t="str">
            <v>Jawa Barat</v>
          </cell>
        </row>
        <row r="127">
          <cell r="E127" t="str">
            <v>Kepulauan Riau</v>
          </cell>
        </row>
        <row r="128">
          <cell r="E128" t="str">
            <v>Sumatera Selatan</v>
          </cell>
        </row>
        <row r="129">
          <cell r="E129" t="str">
            <v>Nusa Tenggara Timur</v>
          </cell>
        </row>
        <row r="130">
          <cell r="E130" t="str">
            <v>Maluku</v>
          </cell>
        </row>
        <row r="131">
          <cell r="E131" t="str">
            <v>Kalimantan Timur</v>
          </cell>
        </row>
        <row r="132">
          <cell r="E132" t="str">
            <v>Kalimantan Selatan</v>
          </cell>
        </row>
        <row r="133">
          <cell r="E133" t="str">
            <v>Nusa Tenggara Barat</v>
          </cell>
        </row>
        <row r="134">
          <cell r="E134" t="str">
            <v>Jawa Timur</v>
          </cell>
        </row>
        <row r="135">
          <cell r="E135" t="str">
            <v>Sulawesi Utara</v>
          </cell>
        </row>
        <row r="136">
          <cell r="E136" t="str">
            <v>Kepulauan Riau</v>
          </cell>
        </row>
        <row r="137">
          <cell r="E137" t="str">
            <v>Kalimantan Utara</v>
          </cell>
        </row>
        <row r="138">
          <cell r="E138" t="str">
            <v>Banten</v>
          </cell>
        </row>
        <row r="139">
          <cell r="E139" t="str">
            <v>Aceh</v>
          </cell>
        </row>
        <row r="140">
          <cell r="E140" t="str">
            <v>Papua</v>
          </cell>
        </row>
        <row r="141">
          <cell r="E141" t="str">
            <v>Gorontalo</v>
          </cell>
        </row>
        <row r="142">
          <cell r="E142" t="str">
            <v>Sulawesi Tenggara</v>
          </cell>
        </row>
        <row r="143">
          <cell r="E143" t="str">
            <v>Riau</v>
          </cell>
        </row>
        <row r="144">
          <cell r="E144" t="str">
            <v>Maluku Utara</v>
          </cell>
        </row>
        <row r="145">
          <cell r="E145" t="str">
            <v>DKI Jakarta</v>
          </cell>
        </row>
        <row r="146">
          <cell r="E146" t="str">
            <v>DKI Jakarta</v>
          </cell>
        </row>
        <row r="147">
          <cell r="E147" t="str">
            <v>DKI Jakarta</v>
          </cell>
        </row>
        <row r="148">
          <cell r="E148" t="str">
            <v>DKI Jakarta</v>
          </cell>
        </row>
        <row r="149">
          <cell r="E149" t="str">
            <v>DKI Jakarta</v>
          </cell>
        </row>
        <row r="150">
          <cell r="E150" t="str">
            <v>DKI Jakarta</v>
          </cell>
        </row>
        <row r="151">
          <cell r="E151" t="str">
            <v>DKI Jakarta</v>
          </cell>
        </row>
        <row r="152">
          <cell r="E152" t="str">
            <v>DKI Jakarta</v>
          </cell>
        </row>
        <row r="153">
          <cell r="E153" t="str">
            <v>Jawa Barat</v>
          </cell>
        </row>
        <row r="154">
          <cell r="E154" t="str">
            <v>Maluku</v>
          </cell>
        </row>
        <row r="155">
          <cell r="E155" t="str">
            <v>Jawa Tengah</v>
          </cell>
        </row>
        <row r="156">
          <cell r="E156" t="str">
            <v>Sumatera Barat</v>
          </cell>
        </row>
        <row r="157">
          <cell r="E157" t="str">
            <v>Sumatera Selatan</v>
          </cell>
        </row>
        <row r="158">
          <cell r="E158" t="str">
            <v>Sumatera Selatan</v>
          </cell>
        </row>
        <row r="159">
          <cell r="E159" t="str">
            <v>DI Yogyakarta</v>
          </cell>
        </row>
        <row r="160">
          <cell r="E160" t="str">
            <v>Banten</v>
          </cell>
        </row>
        <row r="161">
          <cell r="E161" t="str">
            <v>Jawa Tengah</v>
          </cell>
        </row>
        <row r="162">
          <cell r="E162" t="str">
            <v>Sulawesi Selatan</v>
          </cell>
        </row>
        <row r="163">
          <cell r="E163" t="str">
            <v>Sulawesi Selatan</v>
          </cell>
        </row>
        <row r="164">
          <cell r="E164" t="str">
            <v>DKI Jakarta</v>
          </cell>
        </row>
        <row r="165">
          <cell r="E165" t="str">
            <v>Sumatera Utara</v>
          </cell>
        </row>
        <row r="166">
          <cell r="E166" t="str">
            <v>DKI Jakarta</v>
          </cell>
        </row>
        <row r="167">
          <cell r="E167" t="str">
            <v>DKI Jakarta</v>
          </cell>
        </row>
        <row r="168">
          <cell r="E168" t="str">
            <v>Sulawesi Utara</v>
          </cell>
        </row>
        <row r="169">
          <cell r="E169" t="str">
            <v>Sulawesi Utara</v>
          </cell>
        </row>
        <row r="170">
          <cell r="E170" t="str">
            <v>Bali</v>
          </cell>
        </row>
        <row r="171">
          <cell r="E171" t="str">
            <v>Jawa Tengah</v>
          </cell>
        </row>
        <row r="172">
          <cell r="E172" t="str">
            <v>Sumatera Barat</v>
          </cell>
        </row>
        <row r="173">
          <cell r="E173" t="str">
            <v>DKI Jakarta</v>
          </cell>
        </row>
        <row r="174">
          <cell r="E174" t="str">
            <v>DKI Jakarta</v>
          </cell>
        </row>
        <row r="175">
          <cell r="E175" t="str">
            <v>DKI Jakarta</v>
          </cell>
        </row>
        <row r="176">
          <cell r="E176" t="str">
            <v>Jawa Barat</v>
          </cell>
        </row>
        <row r="177">
          <cell r="E177" t="str">
            <v>Jawa Tengah</v>
          </cell>
        </row>
        <row r="178">
          <cell r="E178" t="str">
            <v>DKI Jakarta</v>
          </cell>
        </row>
        <row r="179">
          <cell r="E179" t="str">
            <v>Jawa Barat</v>
          </cell>
        </row>
        <row r="180">
          <cell r="E180" t="str">
            <v>Jawa Timur</v>
          </cell>
        </row>
        <row r="181">
          <cell r="E181" t="str">
            <v>DKI Jakarta</v>
          </cell>
        </row>
        <row r="182">
          <cell r="E182" t="str">
            <v>Jawa Tengah</v>
          </cell>
        </row>
        <row r="183">
          <cell r="E183" t="str">
            <v>Jawa Tengah</v>
          </cell>
        </row>
        <row r="184">
          <cell r="E184" t="str">
            <v>Jawa Barat</v>
          </cell>
        </row>
        <row r="185">
          <cell r="E185" t="str">
            <v>Jawa Barat</v>
          </cell>
        </row>
        <row r="186">
          <cell r="E186" t="str">
            <v>Sulawesi Selatan</v>
          </cell>
        </row>
        <row r="187">
          <cell r="E187" t="str">
            <v>Nusa Tenggara Timur</v>
          </cell>
        </row>
        <row r="188">
          <cell r="E188" t="str">
            <v>DKI Jakarta</v>
          </cell>
        </row>
        <row r="189">
          <cell r="E189" t="str">
            <v>DKI Jakarta</v>
          </cell>
        </row>
        <row r="190">
          <cell r="E190" t="str">
            <v>Papua</v>
          </cell>
        </row>
        <row r="191">
          <cell r="E191" t="str">
            <v>Kalimantan Timur</v>
          </cell>
        </row>
        <row r="192">
          <cell r="E192" t="str">
            <v>Jawa Timur</v>
          </cell>
        </row>
        <row r="193">
          <cell r="E193" t="str">
            <v>Sulawesi Selatan</v>
          </cell>
        </row>
        <row r="194">
          <cell r="E194" t="str">
            <v>DKI Jakarta</v>
          </cell>
        </row>
        <row r="195">
          <cell r="E195" t="str">
            <v>DKI Jakarta</v>
          </cell>
        </row>
        <row r="196">
          <cell r="E196" t="str">
            <v>DKI Jakarta</v>
          </cell>
        </row>
        <row r="197">
          <cell r="E197" t="str">
            <v>DKI Jakarta</v>
          </cell>
        </row>
        <row r="198">
          <cell r="E198" t="str">
            <v>DKI Jakarta</v>
          </cell>
        </row>
        <row r="199">
          <cell r="E199" t="str">
            <v>DKI Jakarta</v>
          </cell>
        </row>
        <row r="200">
          <cell r="E200" t="str">
            <v>DKI Jakarta</v>
          </cell>
        </row>
        <row r="201">
          <cell r="E201" t="str">
            <v>DKI Jakarta</v>
          </cell>
        </row>
        <row r="202">
          <cell r="E202" t="str">
            <v>DKI Jakarta</v>
          </cell>
        </row>
        <row r="203">
          <cell r="E203" t="str">
            <v>DKI Jakarta</v>
          </cell>
        </row>
        <row r="204">
          <cell r="E204" t="str">
            <v>DKI Jakarta</v>
          </cell>
        </row>
        <row r="205">
          <cell r="E205" t="str">
            <v>DKI Jakarta</v>
          </cell>
        </row>
        <row r="206">
          <cell r="E206" t="str">
            <v>DKI Jakarta</v>
          </cell>
        </row>
        <row r="207">
          <cell r="E207" t="str">
            <v>DKI Jakarta</v>
          </cell>
        </row>
        <row r="208">
          <cell r="E208" t="str">
            <v>DKI Jakarta</v>
          </cell>
        </row>
        <row r="209">
          <cell r="E209" t="str">
            <v>DKI Jakarta</v>
          </cell>
        </row>
        <row r="210">
          <cell r="E210" t="str">
            <v>DKI Jakarta</v>
          </cell>
        </row>
        <row r="211">
          <cell r="E211" t="str">
            <v>DKI Jakarta</v>
          </cell>
        </row>
        <row r="212">
          <cell r="E212" t="str">
            <v>DKI Jakarta</v>
          </cell>
        </row>
        <row r="213">
          <cell r="E213" t="str">
            <v>DKI Jakarta</v>
          </cell>
        </row>
        <row r="214">
          <cell r="E214" t="str">
            <v>DKI Jakarta</v>
          </cell>
        </row>
        <row r="215">
          <cell r="E215" t="str">
            <v>DKI Jakarta</v>
          </cell>
        </row>
        <row r="216">
          <cell r="E216" t="str">
            <v>DKI Jakarta</v>
          </cell>
        </row>
        <row r="217">
          <cell r="E217" t="str">
            <v>Jawa Barat</v>
          </cell>
        </row>
        <row r="218">
          <cell r="E218" t="str">
            <v>DKI Jakarta</v>
          </cell>
        </row>
        <row r="219">
          <cell r="E219" t="str">
            <v>Sulawesi Selatan</v>
          </cell>
        </row>
        <row r="220">
          <cell r="E220" t="str">
            <v>Kepulauan Riau</v>
          </cell>
        </row>
        <row r="221">
          <cell r="E221" t="str">
            <v>Jawa Barat</v>
          </cell>
        </row>
        <row r="222">
          <cell r="E222" t="str">
            <v>Jawa Tengah</v>
          </cell>
        </row>
        <row r="223">
          <cell r="E223" t="str">
            <v>Nusa Tenggara Barat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EF90-7BB2-D645-AAFD-CA31FAFEF557}">
  <dimension ref="A1:F223"/>
  <sheetViews>
    <sheetView tabSelected="1" topLeftCell="E31" workbookViewId="0">
      <selection activeCell="F47" sqref="F47"/>
    </sheetView>
  </sheetViews>
  <sheetFormatPr baseColWidth="10" defaultColWidth="8.83203125" defaultRowHeight="15" x14ac:dyDescent="0.2"/>
  <cols>
    <col min="1" max="1" width="5" customWidth="1"/>
    <col min="2" max="2" width="26.6640625" customWidth="1"/>
    <col min="3" max="3" width="71.1640625" customWidth="1"/>
    <col min="4" max="4" width="79.83203125" customWidth="1"/>
    <col min="5" max="5" width="35.6640625" customWidth="1"/>
    <col min="6" max="6" width="128" bestFit="1" customWidth="1"/>
  </cols>
  <sheetData>
    <row r="1" spans="1:6" ht="16" x14ac:dyDescent="0.2">
      <c r="A1" s="4" t="s">
        <v>47</v>
      </c>
      <c r="B1" s="4" t="s">
        <v>48</v>
      </c>
      <c r="C1" s="4" t="s">
        <v>49</v>
      </c>
      <c r="D1" s="5" t="s">
        <v>50</v>
      </c>
      <c r="E1" s="5" t="s">
        <v>51</v>
      </c>
      <c r="F1" s="6" t="s">
        <v>52</v>
      </c>
    </row>
    <row r="2" spans="1:6" ht="16" x14ac:dyDescent="0.2">
      <c r="A2" s="7" cm="1">
        <f t="array" ref="A2:A223">_xlfn.SEQUENCE(222)</f>
        <v>1</v>
      </c>
      <c r="B2" s="10" t="s">
        <v>53</v>
      </c>
      <c r="C2" s="7" t="s">
        <v>54</v>
      </c>
      <c r="D2" s="11" t="s">
        <v>55</v>
      </c>
      <c r="E2" s="11" t="s">
        <v>12</v>
      </c>
      <c r="F2" s="12" t="s">
        <v>541</v>
      </c>
    </row>
    <row r="3" spans="1:6" ht="16" x14ac:dyDescent="0.2">
      <c r="A3" s="7">
        <v>2</v>
      </c>
      <c r="B3" s="10" t="s">
        <v>53</v>
      </c>
      <c r="C3" s="7" t="s">
        <v>56</v>
      </c>
      <c r="D3" s="11" t="s">
        <v>55</v>
      </c>
      <c r="E3" s="11" t="s">
        <v>12</v>
      </c>
      <c r="F3" s="12" t="s">
        <v>541</v>
      </c>
    </row>
    <row r="4" spans="1:6" ht="16" x14ac:dyDescent="0.2">
      <c r="A4" s="7">
        <v>3</v>
      </c>
      <c r="B4" s="10" t="s">
        <v>53</v>
      </c>
      <c r="C4" s="7" t="s">
        <v>57</v>
      </c>
      <c r="D4" s="11" t="s">
        <v>55</v>
      </c>
      <c r="E4" s="11" t="s">
        <v>12</v>
      </c>
      <c r="F4" s="12" t="s">
        <v>541</v>
      </c>
    </row>
    <row r="5" spans="1:6" ht="16" x14ac:dyDescent="0.2">
      <c r="A5" s="7">
        <v>4</v>
      </c>
      <c r="B5" s="10" t="s">
        <v>53</v>
      </c>
      <c r="C5" s="7" t="s">
        <v>58</v>
      </c>
      <c r="D5" s="11" t="s">
        <v>55</v>
      </c>
      <c r="E5" s="11" t="s">
        <v>12</v>
      </c>
      <c r="F5" s="12" t="s">
        <v>541</v>
      </c>
    </row>
    <row r="6" spans="1:6" ht="16" x14ac:dyDescent="0.2">
      <c r="A6" s="7">
        <v>5</v>
      </c>
      <c r="B6" s="10" t="s">
        <v>53</v>
      </c>
      <c r="C6" s="7" t="s">
        <v>59</v>
      </c>
      <c r="D6" s="11" t="s">
        <v>55</v>
      </c>
      <c r="E6" s="11" t="s">
        <v>12</v>
      </c>
      <c r="F6" s="12" t="s">
        <v>541</v>
      </c>
    </row>
    <row r="7" spans="1:6" ht="16" x14ac:dyDescent="0.2">
      <c r="A7" s="7">
        <v>6</v>
      </c>
      <c r="B7" s="10" t="s">
        <v>53</v>
      </c>
      <c r="C7" s="7" t="s">
        <v>60</v>
      </c>
      <c r="D7" s="11" t="s">
        <v>55</v>
      </c>
      <c r="E7" s="11" t="s">
        <v>12</v>
      </c>
      <c r="F7" s="12" t="s">
        <v>541</v>
      </c>
    </row>
    <row r="8" spans="1:6" ht="32" x14ac:dyDescent="0.2">
      <c r="A8" s="7">
        <v>7</v>
      </c>
      <c r="B8" s="10" t="s">
        <v>53</v>
      </c>
      <c r="C8" s="7" t="s">
        <v>61</v>
      </c>
      <c r="D8" s="11" t="s">
        <v>62</v>
      </c>
      <c r="E8" s="11" t="s">
        <v>15</v>
      </c>
      <c r="F8" s="12" t="s">
        <v>542</v>
      </c>
    </row>
    <row r="9" spans="1:6" ht="16" x14ac:dyDescent="0.2">
      <c r="A9" s="7">
        <v>8</v>
      </c>
      <c r="B9" s="10" t="s">
        <v>53</v>
      </c>
      <c r="C9" s="7" t="s">
        <v>63</v>
      </c>
      <c r="D9" s="11" t="s">
        <v>64</v>
      </c>
      <c r="E9" s="11" t="s">
        <v>15</v>
      </c>
      <c r="F9" s="12" t="s">
        <v>65</v>
      </c>
    </row>
    <row r="10" spans="1:6" ht="32" x14ac:dyDescent="0.2">
      <c r="A10" s="7">
        <v>9</v>
      </c>
      <c r="B10" s="10" t="s">
        <v>53</v>
      </c>
      <c r="C10" s="7" t="s">
        <v>66</v>
      </c>
      <c r="D10" s="11" t="s">
        <v>67</v>
      </c>
      <c r="E10" s="11" t="s">
        <v>36</v>
      </c>
      <c r="F10" s="12" t="s">
        <v>542</v>
      </c>
    </row>
    <row r="11" spans="1:6" ht="16" x14ac:dyDescent="0.2">
      <c r="A11" s="7">
        <v>10</v>
      </c>
      <c r="B11" s="10" t="s">
        <v>53</v>
      </c>
      <c r="C11" s="7" t="s">
        <v>68</v>
      </c>
      <c r="D11" s="11" t="s">
        <v>69</v>
      </c>
      <c r="E11" s="11" t="s">
        <v>17</v>
      </c>
      <c r="F11" s="12" t="s">
        <v>70</v>
      </c>
    </row>
    <row r="12" spans="1:6" ht="32" x14ac:dyDescent="0.2">
      <c r="A12" s="7">
        <v>11</v>
      </c>
      <c r="B12" s="10" t="s">
        <v>53</v>
      </c>
      <c r="C12" s="7" t="s">
        <v>71</v>
      </c>
      <c r="D12" s="11" t="s">
        <v>72</v>
      </c>
      <c r="E12" s="11" t="s">
        <v>42</v>
      </c>
      <c r="F12" s="12" t="s">
        <v>542</v>
      </c>
    </row>
    <row r="13" spans="1:6" ht="32" x14ac:dyDescent="0.2">
      <c r="A13" s="7">
        <v>12</v>
      </c>
      <c r="B13" s="10" t="s">
        <v>53</v>
      </c>
      <c r="C13" s="7" t="s">
        <v>73</v>
      </c>
      <c r="D13" s="11" t="s">
        <v>74</v>
      </c>
      <c r="E13" s="11" t="s">
        <v>16</v>
      </c>
      <c r="F13" s="12" t="s">
        <v>542</v>
      </c>
    </row>
    <row r="14" spans="1:6" ht="32" x14ac:dyDescent="0.2">
      <c r="A14" s="7">
        <v>13</v>
      </c>
      <c r="B14" s="10" t="s">
        <v>53</v>
      </c>
      <c r="C14" s="7" t="s">
        <v>75</v>
      </c>
      <c r="D14" s="11" t="s">
        <v>76</v>
      </c>
      <c r="E14" s="11" t="s">
        <v>17</v>
      </c>
      <c r="F14" s="12" t="s">
        <v>542</v>
      </c>
    </row>
    <row r="15" spans="1:6" ht="16" x14ac:dyDescent="0.2">
      <c r="A15" s="7">
        <v>14</v>
      </c>
      <c r="B15" s="10" t="s">
        <v>53</v>
      </c>
      <c r="C15" s="7" t="s">
        <v>77</v>
      </c>
      <c r="D15" s="11" t="s">
        <v>78</v>
      </c>
      <c r="E15" s="11" t="s">
        <v>16</v>
      </c>
      <c r="F15" s="12" t="s">
        <v>79</v>
      </c>
    </row>
    <row r="16" spans="1:6" ht="32" x14ac:dyDescent="0.2">
      <c r="A16" s="7">
        <v>15</v>
      </c>
      <c r="B16" s="10" t="s">
        <v>53</v>
      </c>
      <c r="C16" s="7" t="s">
        <v>80</v>
      </c>
      <c r="D16" s="11" t="s">
        <v>81</v>
      </c>
      <c r="E16" s="11" t="s">
        <v>15</v>
      </c>
      <c r="F16" s="12" t="s">
        <v>542</v>
      </c>
    </row>
    <row r="17" spans="1:6" ht="16" x14ac:dyDescent="0.2">
      <c r="A17" s="7">
        <v>16</v>
      </c>
      <c r="B17" s="10" t="s">
        <v>53</v>
      </c>
      <c r="C17" s="7" t="s">
        <v>82</v>
      </c>
      <c r="D17" s="11" t="s">
        <v>83</v>
      </c>
      <c r="E17" s="11" t="s">
        <v>10</v>
      </c>
      <c r="F17" s="12" t="s">
        <v>84</v>
      </c>
    </row>
    <row r="18" spans="1:6" ht="16" x14ac:dyDescent="0.2">
      <c r="A18" s="7">
        <v>17</v>
      </c>
      <c r="B18" s="10" t="s">
        <v>53</v>
      </c>
      <c r="C18" s="7" t="s">
        <v>85</v>
      </c>
      <c r="D18" s="11" t="s">
        <v>86</v>
      </c>
      <c r="E18" s="11" t="s">
        <v>5</v>
      </c>
      <c r="F18" s="12" t="s">
        <v>87</v>
      </c>
    </row>
    <row r="19" spans="1:6" ht="16" x14ac:dyDescent="0.2">
      <c r="A19" s="7">
        <v>18</v>
      </c>
      <c r="B19" s="10" t="s">
        <v>53</v>
      </c>
      <c r="C19" s="7" t="s">
        <v>88</v>
      </c>
      <c r="D19" s="11" t="s">
        <v>89</v>
      </c>
      <c r="E19" s="11" t="s">
        <v>19</v>
      </c>
      <c r="F19" s="12" t="s">
        <v>90</v>
      </c>
    </row>
    <row r="20" spans="1:6" ht="32" x14ac:dyDescent="0.2">
      <c r="A20" s="7">
        <v>19</v>
      </c>
      <c r="B20" s="10" t="s">
        <v>53</v>
      </c>
      <c r="C20" s="7" t="s">
        <v>91</v>
      </c>
      <c r="D20" s="11" t="s">
        <v>92</v>
      </c>
      <c r="E20" s="11" t="s">
        <v>7</v>
      </c>
      <c r="F20" s="12" t="s">
        <v>542</v>
      </c>
    </row>
    <row r="21" spans="1:6" ht="16" x14ac:dyDescent="0.2">
      <c r="A21" s="7">
        <v>20</v>
      </c>
      <c r="B21" s="10" t="s">
        <v>53</v>
      </c>
      <c r="C21" s="7" t="s">
        <v>93</v>
      </c>
      <c r="D21" s="11" t="s">
        <v>94</v>
      </c>
      <c r="E21" s="11" t="s">
        <v>8</v>
      </c>
      <c r="F21" s="12" t="s">
        <v>95</v>
      </c>
    </row>
    <row r="22" spans="1:6" ht="16" x14ac:dyDescent="0.2">
      <c r="A22" s="7">
        <v>21</v>
      </c>
      <c r="B22" s="10" t="s">
        <v>53</v>
      </c>
      <c r="C22" s="7" t="s">
        <v>96</v>
      </c>
      <c r="D22" s="11" t="s">
        <v>97</v>
      </c>
      <c r="E22" s="11" t="s">
        <v>6</v>
      </c>
      <c r="F22" s="12" t="s">
        <v>98</v>
      </c>
    </row>
    <row r="23" spans="1:6" ht="16" x14ac:dyDescent="0.2">
      <c r="A23" s="7">
        <v>22</v>
      </c>
      <c r="B23" s="10" t="s">
        <v>53</v>
      </c>
      <c r="C23" s="7" t="s">
        <v>99</v>
      </c>
      <c r="D23" s="11" t="s">
        <v>100</v>
      </c>
      <c r="E23" s="11" t="s">
        <v>12</v>
      </c>
      <c r="F23" s="12" t="s">
        <v>101</v>
      </c>
    </row>
    <row r="24" spans="1:6" ht="32" x14ac:dyDescent="0.2">
      <c r="A24" s="7">
        <v>23</v>
      </c>
      <c r="B24" s="10" t="s">
        <v>53</v>
      </c>
      <c r="C24" s="7" t="s">
        <v>102</v>
      </c>
      <c r="D24" s="11" t="s">
        <v>103</v>
      </c>
      <c r="E24" s="11" t="s">
        <v>12</v>
      </c>
      <c r="F24" s="12" t="s">
        <v>542</v>
      </c>
    </row>
    <row r="25" spans="1:6" ht="16" x14ac:dyDescent="0.2">
      <c r="A25" s="7">
        <v>24</v>
      </c>
      <c r="B25" s="10" t="s">
        <v>53</v>
      </c>
      <c r="C25" s="7" t="s">
        <v>104</v>
      </c>
      <c r="D25" s="11" t="s">
        <v>105</v>
      </c>
      <c r="E25" s="11" t="s">
        <v>30</v>
      </c>
      <c r="F25" s="12" t="s">
        <v>106</v>
      </c>
    </row>
    <row r="26" spans="1:6" ht="32" x14ac:dyDescent="0.2">
      <c r="A26" s="7">
        <v>25</v>
      </c>
      <c r="B26" s="10" t="s">
        <v>53</v>
      </c>
      <c r="C26" s="7" t="s">
        <v>107</v>
      </c>
      <c r="D26" s="11" t="s">
        <v>108</v>
      </c>
      <c r="E26" s="11" t="s">
        <v>21</v>
      </c>
      <c r="F26" s="12" t="s">
        <v>542</v>
      </c>
    </row>
    <row r="27" spans="1:6" ht="32" x14ac:dyDescent="0.2">
      <c r="A27" s="7">
        <v>26</v>
      </c>
      <c r="B27" s="10" t="s">
        <v>53</v>
      </c>
      <c r="C27" s="7" t="s">
        <v>109</v>
      </c>
      <c r="D27" s="11" t="s">
        <v>110</v>
      </c>
      <c r="E27" s="11" t="s">
        <v>38</v>
      </c>
      <c r="F27" s="12" t="s">
        <v>542</v>
      </c>
    </row>
    <row r="28" spans="1:6" ht="32" x14ac:dyDescent="0.2">
      <c r="A28" s="7">
        <v>27</v>
      </c>
      <c r="B28" s="10" t="s">
        <v>53</v>
      </c>
      <c r="C28" s="7" t="s">
        <v>111</v>
      </c>
      <c r="D28" s="11" t="s">
        <v>112</v>
      </c>
      <c r="E28" s="11" t="s">
        <v>29</v>
      </c>
      <c r="F28" s="12" t="s">
        <v>542</v>
      </c>
    </row>
    <row r="29" spans="1:6" ht="32" x14ac:dyDescent="0.2">
      <c r="A29" s="7">
        <v>28</v>
      </c>
      <c r="B29" s="10" t="s">
        <v>53</v>
      </c>
      <c r="C29" s="7" t="s">
        <v>113</v>
      </c>
      <c r="D29" s="11" t="s">
        <v>114</v>
      </c>
      <c r="E29" s="11" t="s">
        <v>39</v>
      </c>
      <c r="F29" s="12" t="s">
        <v>542</v>
      </c>
    </row>
    <row r="30" spans="1:6" ht="16" x14ac:dyDescent="0.2">
      <c r="A30" s="7">
        <v>29</v>
      </c>
      <c r="B30" s="10" t="s">
        <v>53</v>
      </c>
      <c r="C30" s="7" t="s">
        <v>115</v>
      </c>
      <c r="D30" s="11" t="s">
        <v>116</v>
      </c>
      <c r="E30" s="11" t="s">
        <v>40</v>
      </c>
      <c r="F30" s="12" t="s">
        <v>117</v>
      </c>
    </row>
    <row r="31" spans="1:6" ht="32" x14ac:dyDescent="0.2">
      <c r="A31" s="7">
        <v>30</v>
      </c>
      <c r="B31" s="10" t="s">
        <v>53</v>
      </c>
      <c r="C31" s="7" t="s">
        <v>118</v>
      </c>
      <c r="D31" s="11" t="s">
        <v>119</v>
      </c>
      <c r="E31" s="11" t="s">
        <v>41</v>
      </c>
      <c r="F31" s="12" t="s">
        <v>120</v>
      </c>
    </row>
    <row r="32" spans="1:6" ht="16" x14ac:dyDescent="0.2">
      <c r="A32" s="7">
        <v>31</v>
      </c>
      <c r="B32" s="10" t="s">
        <v>53</v>
      </c>
      <c r="C32" s="7" t="s">
        <v>121</v>
      </c>
      <c r="D32" s="11" t="s">
        <v>122</v>
      </c>
      <c r="E32" s="11" t="s">
        <v>18</v>
      </c>
      <c r="F32" s="12" t="s">
        <v>123</v>
      </c>
    </row>
    <row r="33" spans="1:6" ht="16" x14ac:dyDescent="0.2">
      <c r="A33" s="7">
        <v>32</v>
      </c>
      <c r="B33" s="10" t="s">
        <v>53</v>
      </c>
      <c r="C33" s="7" t="s">
        <v>124</v>
      </c>
      <c r="D33" s="11" t="s">
        <v>125</v>
      </c>
      <c r="E33" s="11" t="s">
        <v>25</v>
      </c>
      <c r="F33" s="12" t="s">
        <v>126</v>
      </c>
    </row>
    <row r="34" spans="1:6" ht="32" x14ac:dyDescent="0.2">
      <c r="A34" s="7">
        <v>33</v>
      </c>
      <c r="B34" s="10" t="s">
        <v>53</v>
      </c>
      <c r="C34" s="7" t="s">
        <v>127</v>
      </c>
      <c r="D34" s="11" t="s">
        <v>128</v>
      </c>
      <c r="E34" s="11" t="s">
        <v>13</v>
      </c>
      <c r="F34" s="12" t="s">
        <v>542</v>
      </c>
    </row>
    <row r="35" spans="1:6" ht="16" x14ac:dyDescent="0.2">
      <c r="A35" s="7">
        <v>34</v>
      </c>
      <c r="B35" s="10" t="s">
        <v>53</v>
      </c>
      <c r="C35" s="7" t="s">
        <v>129</v>
      </c>
      <c r="D35" s="11" t="s">
        <v>130</v>
      </c>
      <c r="E35" s="11" t="s">
        <v>14</v>
      </c>
      <c r="F35" s="12" t="s">
        <v>131</v>
      </c>
    </row>
    <row r="36" spans="1:6" ht="32" x14ac:dyDescent="0.2">
      <c r="A36" s="7">
        <v>35</v>
      </c>
      <c r="B36" s="10" t="s">
        <v>53</v>
      </c>
      <c r="C36" s="7" t="s">
        <v>132</v>
      </c>
      <c r="D36" s="11" t="s">
        <v>133</v>
      </c>
      <c r="E36" s="11" t="s">
        <v>26</v>
      </c>
      <c r="F36" s="12" t="s">
        <v>542</v>
      </c>
    </row>
    <row r="37" spans="1:6" ht="32" x14ac:dyDescent="0.2">
      <c r="A37" s="7">
        <v>36</v>
      </c>
      <c r="B37" s="10" t="s">
        <v>53</v>
      </c>
      <c r="C37" s="7" t="s">
        <v>134</v>
      </c>
      <c r="D37" s="11" t="s">
        <v>135</v>
      </c>
      <c r="E37" s="11" t="s">
        <v>35</v>
      </c>
      <c r="F37" s="12" t="s">
        <v>542</v>
      </c>
    </row>
    <row r="38" spans="1:6" ht="32" x14ac:dyDescent="0.2">
      <c r="A38" s="7">
        <v>37</v>
      </c>
      <c r="B38" s="10" t="s">
        <v>53</v>
      </c>
      <c r="C38" s="7" t="s">
        <v>136</v>
      </c>
      <c r="D38" s="11" t="s">
        <v>137</v>
      </c>
      <c r="E38" s="11" t="s">
        <v>28</v>
      </c>
      <c r="F38" s="12" t="s">
        <v>542</v>
      </c>
    </row>
    <row r="39" spans="1:6" ht="32" x14ac:dyDescent="0.2">
      <c r="A39" s="7">
        <v>38</v>
      </c>
      <c r="B39" s="10" t="s">
        <v>53</v>
      </c>
      <c r="C39" s="7" t="s">
        <v>138</v>
      </c>
      <c r="D39" s="11" t="s">
        <v>139</v>
      </c>
      <c r="E39" s="11" t="s">
        <v>20</v>
      </c>
      <c r="F39" s="12" t="s">
        <v>542</v>
      </c>
    </row>
    <row r="40" spans="1:6" ht="16" x14ac:dyDescent="0.2">
      <c r="A40" s="7">
        <v>39</v>
      </c>
      <c r="B40" s="10" t="s">
        <v>53</v>
      </c>
      <c r="C40" s="7" t="s">
        <v>140</v>
      </c>
      <c r="D40" s="11" t="s">
        <v>141</v>
      </c>
      <c r="E40" s="11" t="s">
        <v>37</v>
      </c>
      <c r="F40" s="12" t="s">
        <v>142</v>
      </c>
    </row>
    <row r="41" spans="1:6" ht="16" x14ac:dyDescent="0.2">
      <c r="A41" s="7">
        <v>40</v>
      </c>
      <c r="B41" s="10" t="s">
        <v>53</v>
      </c>
      <c r="C41" s="7" t="s">
        <v>143</v>
      </c>
      <c r="D41" s="11" t="s">
        <v>144</v>
      </c>
      <c r="E41" s="11" t="s">
        <v>23</v>
      </c>
      <c r="F41" s="12" t="s">
        <v>145</v>
      </c>
    </row>
    <row r="42" spans="1:6" ht="32" x14ac:dyDescent="0.2">
      <c r="A42" s="7">
        <v>41</v>
      </c>
      <c r="B42" s="10" t="s">
        <v>53</v>
      </c>
      <c r="C42" s="7" t="s">
        <v>146</v>
      </c>
      <c r="D42" s="11" t="s">
        <v>147</v>
      </c>
      <c r="E42" s="11" t="s">
        <v>34</v>
      </c>
      <c r="F42" s="12" t="s">
        <v>542</v>
      </c>
    </row>
    <row r="43" spans="1:6" ht="16" x14ac:dyDescent="0.2">
      <c r="A43" s="7">
        <v>42</v>
      </c>
      <c r="B43" s="10" t="s">
        <v>53</v>
      </c>
      <c r="C43" s="7" t="s">
        <v>148</v>
      </c>
      <c r="D43" s="11" t="s">
        <v>149</v>
      </c>
      <c r="E43" s="11" t="s">
        <v>32</v>
      </c>
      <c r="F43" s="12" t="s">
        <v>150</v>
      </c>
    </row>
    <row r="44" spans="1:6" ht="16" x14ac:dyDescent="0.2">
      <c r="A44" s="7">
        <v>43</v>
      </c>
      <c r="B44" s="10" t="s">
        <v>53</v>
      </c>
      <c r="C44" s="7" t="s">
        <v>151</v>
      </c>
      <c r="D44" s="11" t="s">
        <v>152</v>
      </c>
      <c r="E44" s="11" t="s">
        <v>24</v>
      </c>
      <c r="F44" s="12" t="s">
        <v>153</v>
      </c>
    </row>
    <row r="45" spans="1:6" ht="32" x14ac:dyDescent="0.2">
      <c r="A45" s="7">
        <v>44</v>
      </c>
      <c r="B45" s="10" t="s">
        <v>53</v>
      </c>
      <c r="C45" s="7" t="s">
        <v>154</v>
      </c>
      <c r="D45" s="11" t="s">
        <v>155</v>
      </c>
      <c r="E45" s="11" t="s">
        <v>27</v>
      </c>
      <c r="F45" s="12" t="s">
        <v>542</v>
      </c>
    </row>
    <row r="46" spans="1:6" ht="32" x14ac:dyDescent="0.2">
      <c r="A46" s="8">
        <v>45</v>
      </c>
      <c r="B46" s="13" t="s">
        <v>53</v>
      </c>
      <c r="C46" s="8" t="s">
        <v>156</v>
      </c>
      <c r="D46" s="14" t="s">
        <v>157</v>
      </c>
      <c r="E46" s="14" t="s">
        <v>12</v>
      </c>
      <c r="F46" s="15" t="s">
        <v>158</v>
      </c>
    </row>
    <row r="47" spans="1:6" ht="16" x14ac:dyDescent="0.2">
      <c r="A47" s="9">
        <v>46</v>
      </c>
      <c r="B47" s="16" t="s">
        <v>159</v>
      </c>
      <c r="C47" s="17" t="s">
        <v>160</v>
      </c>
      <c r="D47" s="9" t="s">
        <v>161</v>
      </c>
      <c r="E47" s="9" t="s">
        <v>12</v>
      </c>
      <c r="F47" s="9" t="s">
        <v>543</v>
      </c>
    </row>
    <row r="48" spans="1:6" ht="16" x14ac:dyDescent="0.2">
      <c r="A48" s="9">
        <v>47</v>
      </c>
      <c r="B48" s="16" t="s">
        <v>159</v>
      </c>
      <c r="C48" s="17" t="s">
        <v>162</v>
      </c>
      <c r="D48" s="9" t="s">
        <v>161</v>
      </c>
      <c r="E48" s="9" t="s">
        <v>12</v>
      </c>
      <c r="F48" s="9" t="s">
        <v>543</v>
      </c>
    </row>
    <row r="49" spans="1:6" ht="16" x14ac:dyDescent="0.2">
      <c r="A49" s="9">
        <v>48</v>
      </c>
      <c r="B49" s="16" t="s">
        <v>159</v>
      </c>
      <c r="C49" s="17" t="s">
        <v>163</v>
      </c>
      <c r="D49" s="9" t="s">
        <v>161</v>
      </c>
      <c r="E49" s="9" t="s">
        <v>12</v>
      </c>
      <c r="F49" s="9" t="s">
        <v>543</v>
      </c>
    </row>
    <row r="50" spans="1:6" ht="16" x14ac:dyDescent="0.2">
      <c r="A50" s="9">
        <v>49</v>
      </c>
      <c r="B50" s="16" t="s">
        <v>159</v>
      </c>
      <c r="C50" s="17" t="s">
        <v>164</v>
      </c>
      <c r="D50" s="9" t="s">
        <v>161</v>
      </c>
      <c r="E50" s="9" t="s">
        <v>12</v>
      </c>
      <c r="F50" s="9" t="s">
        <v>543</v>
      </c>
    </row>
    <row r="51" spans="1:6" ht="16" x14ac:dyDescent="0.2">
      <c r="A51" s="9">
        <v>50</v>
      </c>
      <c r="B51" s="16" t="s">
        <v>159</v>
      </c>
      <c r="C51" s="17" t="s">
        <v>165</v>
      </c>
      <c r="D51" s="9" t="s">
        <v>161</v>
      </c>
      <c r="E51" s="9" t="s">
        <v>12</v>
      </c>
      <c r="F51" s="9" t="s">
        <v>543</v>
      </c>
    </row>
    <row r="52" spans="1:6" ht="16" x14ac:dyDescent="0.2">
      <c r="A52" s="9">
        <v>51</v>
      </c>
      <c r="B52" s="16" t="s">
        <v>159</v>
      </c>
      <c r="C52" s="17" t="s">
        <v>166</v>
      </c>
      <c r="D52" s="9" t="s">
        <v>161</v>
      </c>
      <c r="E52" s="9" t="s">
        <v>12</v>
      </c>
      <c r="F52" s="9" t="s">
        <v>543</v>
      </c>
    </row>
    <row r="53" spans="1:6" ht="16" x14ac:dyDescent="0.2">
      <c r="A53" s="9">
        <v>52</v>
      </c>
      <c r="B53" s="16" t="s">
        <v>159</v>
      </c>
      <c r="C53" s="17" t="s">
        <v>167</v>
      </c>
      <c r="D53" s="9" t="s">
        <v>168</v>
      </c>
      <c r="E53" s="9" t="s">
        <v>12</v>
      </c>
      <c r="F53" s="9" t="s">
        <v>169</v>
      </c>
    </row>
    <row r="54" spans="1:6" ht="16" x14ac:dyDescent="0.2">
      <c r="A54" s="9">
        <v>53</v>
      </c>
      <c r="B54" s="16" t="s">
        <v>159</v>
      </c>
      <c r="C54" s="17" t="s">
        <v>170</v>
      </c>
      <c r="D54" s="9" t="s">
        <v>171</v>
      </c>
      <c r="E54" s="9" t="s">
        <v>17</v>
      </c>
      <c r="F54" s="9" t="s">
        <v>169</v>
      </c>
    </row>
    <row r="55" spans="1:6" ht="16" x14ac:dyDescent="0.2">
      <c r="A55" s="9">
        <v>54</v>
      </c>
      <c r="B55" s="16" t="s">
        <v>159</v>
      </c>
      <c r="C55" s="17" t="s">
        <v>172</v>
      </c>
      <c r="D55" s="9" t="s">
        <v>173</v>
      </c>
      <c r="E55" s="9" t="s">
        <v>42</v>
      </c>
      <c r="F55" s="9" t="s">
        <v>169</v>
      </c>
    </row>
    <row r="56" spans="1:6" ht="16" x14ac:dyDescent="0.2">
      <c r="A56" s="9">
        <v>55</v>
      </c>
      <c r="B56" s="16" t="s">
        <v>159</v>
      </c>
      <c r="C56" s="17" t="s">
        <v>174</v>
      </c>
      <c r="D56" s="9" t="s">
        <v>175</v>
      </c>
      <c r="E56" s="9" t="s">
        <v>36</v>
      </c>
      <c r="F56" s="9" t="s">
        <v>169</v>
      </c>
    </row>
    <row r="57" spans="1:6" ht="16" x14ac:dyDescent="0.2">
      <c r="A57" s="9">
        <v>56</v>
      </c>
      <c r="B57" s="16" t="s">
        <v>159</v>
      </c>
      <c r="C57" s="17" t="s">
        <v>176</v>
      </c>
      <c r="D57" s="9" t="s">
        <v>177</v>
      </c>
      <c r="E57" s="9" t="s">
        <v>16</v>
      </c>
      <c r="F57" s="9" t="s">
        <v>169</v>
      </c>
    </row>
    <row r="58" spans="1:6" ht="16" x14ac:dyDescent="0.2">
      <c r="A58" s="9">
        <v>57</v>
      </c>
      <c r="B58" s="16" t="s">
        <v>159</v>
      </c>
      <c r="C58" s="17" t="s">
        <v>178</v>
      </c>
      <c r="D58" s="9" t="s">
        <v>179</v>
      </c>
      <c r="E58" s="9" t="s">
        <v>19</v>
      </c>
      <c r="F58" s="9" t="s">
        <v>169</v>
      </c>
    </row>
    <row r="59" spans="1:6" ht="16" x14ac:dyDescent="0.2">
      <c r="A59" s="9">
        <v>58</v>
      </c>
      <c r="B59" s="16" t="s">
        <v>180</v>
      </c>
      <c r="C59" s="17" t="s">
        <v>181</v>
      </c>
      <c r="D59" s="9" t="s">
        <v>161</v>
      </c>
      <c r="E59" s="9" t="s">
        <v>12</v>
      </c>
      <c r="F59" s="9" t="s">
        <v>543</v>
      </c>
    </row>
    <row r="60" spans="1:6" ht="16" x14ac:dyDescent="0.2">
      <c r="A60" s="9">
        <v>59</v>
      </c>
      <c r="B60" s="16" t="s">
        <v>180</v>
      </c>
      <c r="C60" s="17" t="s">
        <v>182</v>
      </c>
      <c r="D60" s="9" t="s">
        <v>161</v>
      </c>
      <c r="E60" s="9" t="s">
        <v>12</v>
      </c>
      <c r="F60" s="9" t="s">
        <v>543</v>
      </c>
    </row>
    <row r="61" spans="1:6" ht="16" x14ac:dyDescent="0.2">
      <c r="A61" s="9">
        <v>60</v>
      </c>
      <c r="B61" s="16" t="s">
        <v>180</v>
      </c>
      <c r="C61" s="17" t="s">
        <v>183</v>
      </c>
      <c r="D61" s="9" t="s">
        <v>161</v>
      </c>
      <c r="E61" s="9" t="s">
        <v>12</v>
      </c>
      <c r="F61" s="9" t="s">
        <v>543</v>
      </c>
    </row>
    <row r="62" spans="1:6" ht="16" x14ac:dyDescent="0.2">
      <c r="A62" s="9">
        <v>61</v>
      </c>
      <c r="B62" s="16" t="s">
        <v>180</v>
      </c>
      <c r="C62" s="17" t="s">
        <v>184</v>
      </c>
      <c r="D62" s="9" t="s">
        <v>161</v>
      </c>
      <c r="E62" s="9" t="s">
        <v>12</v>
      </c>
      <c r="F62" s="9" t="s">
        <v>543</v>
      </c>
    </row>
    <row r="63" spans="1:6" ht="16" x14ac:dyDescent="0.2">
      <c r="A63" s="9">
        <v>62</v>
      </c>
      <c r="B63" s="16" t="s">
        <v>180</v>
      </c>
      <c r="C63" s="17" t="s">
        <v>185</v>
      </c>
      <c r="D63" s="9" t="s">
        <v>161</v>
      </c>
      <c r="E63" s="9" t="s">
        <v>12</v>
      </c>
      <c r="F63" s="9" t="s">
        <v>543</v>
      </c>
    </row>
    <row r="64" spans="1:6" ht="16" x14ac:dyDescent="0.2">
      <c r="A64" s="9">
        <v>63</v>
      </c>
      <c r="B64" s="16" t="s">
        <v>180</v>
      </c>
      <c r="C64" s="17" t="s">
        <v>186</v>
      </c>
      <c r="D64" s="9" t="s">
        <v>161</v>
      </c>
      <c r="E64" s="9" t="s">
        <v>12</v>
      </c>
      <c r="F64" s="9" t="s">
        <v>543</v>
      </c>
    </row>
    <row r="65" spans="1:6" ht="16" x14ac:dyDescent="0.2">
      <c r="A65" s="9">
        <v>64</v>
      </c>
      <c r="B65" s="16" t="s">
        <v>180</v>
      </c>
      <c r="C65" s="17" t="s">
        <v>187</v>
      </c>
      <c r="D65" s="9" t="s">
        <v>188</v>
      </c>
      <c r="E65" s="9" t="s">
        <v>12</v>
      </c>
      <c r="F65" s="9" t="s">
        <v>189</v>
      </c>
    </row>
    <row r="66" spans="1:6" ht="16" x14ac:dyDescent="0.2">
      <c r="A66" s="9">
        <v>65</v>
      </c>
      <c r="B66" s="16" t="s">
        <v>180</v>
      </c>
      <c r="C66" s="17" t="s">
        <v>190</v>
      </c>
      <c r="D66" s="9" t="s">
        <v>191</v>
      </c>
      <c r="E66" s="9" t="s">
        <v>17</v>
      </c>
      <c r="F66" s="9" t="s">
        <v>192</v>
      </c>
    </row>
    <row r="67" spans="1:6" ht="16" x14ac:dyDescent="0.2">
      <c r="A67" s="9">
        <v>66</v>
      </c>
      <c r="B67" s="16" t="s">
        <v>180</v>
      </c>
      <c r="C67" s="17" t="s">
        <v>193</v>
      </c>
      <c r="D67" s="9" t="s">
        <v>194</v>
      </c>
      <c r="E67" s="9" t="s">
        <v>10</v>
      </c>
      <c r="F67" s="9" t="s">
        <v>195</v>
      </c>
    </row>
    <row r="68" spans="1:6" ht="16" x14ac:dyDescent="0.2">
      <c r="A68" s="9">
        <v>67</v>
      </c>
      <c r="B68" s="16" t="s">
        <v>180</v>
      </c>
      <c r="C68" s="17" t="s">
        <v>196</v>
      </c>
      <c r="D68" s="9" t="s">
        <v>197</v>
      </c>
      <c r="E68" s="9" t="s">
        <v>41</v>
      </c>
      <c r="F68" s="9" t="s">
        <v>198</v>
      </c>
    </row>
    <row r="69" spans="1:6" ht="16" x14ac:dyDescent="0.2">
      <c r="A69" s="9">
        <v>68</v>
      </c>
      <c r="B69" s="16" t="s">
        <v>180</v>
      </c>
      <c r="C69" s="17" t="s">
        <v>199</v>
      </c>
      <c r="D69" s="9" t="s">
        <v>200</v>
      </c>
      <c r="E69" s="9" t="s">
        <v>12</v>
      </c>
      <c r="F69" s="9" t="s">
        <v>201</v>
      </c>
    </row>
    <row r="70" spans="1:6" ht="16" x14ac:dyDescent="0.2">
      <c r="A70" s="9">
        <v>69</v>
      </c>
      <c r="B70" s="16" t="s">
        <v>180</v>
      </c>
      <c r="C70" s="17" t="s">
        <v>202</v>
      </c>
      <c r="D70" s="9" t="s">
        <v>203</v>
      </c>
      <c r="E70" s="9" t="s">
        <v>19</v>
      </c>
      <c r="F70" s="9" t="s">
        <v>204</v>
      </c>
    </row>
    <row r="71" spans="1:6" ht="16" x14ac:dyDescent="0.2">
      <c r="A71" s="9">
        <v>70</v>
      </c>
      <c r="B71" s="16" t="s">
        <v>180</v>
      </c>
      <c r="C71" s="17" t="s">
        <v>205</v>
      </c>
      <c r="D71" s="9" t="s">
        <v>206</v>
      </c>
      <c r="E71" s="9" t="s">
        <v>36</v>
      </c>
      <c r="F71" s="9" t="s">
        <v>207</v>
      </c>
    </row>
    <row r="72" spans="1:6" ht="16" x14ac:dyDescent="0.2">
      <c r="A72" s="9">
        <v>71</v>
      </c>
      <c r="B72" s="16" t="s">
        <v>180</v>
      </c>
      <c r="C72" s="17" t="s">
        <v>208</v>
      </c>
      <c r="D72" s="9" t="s">
        <v>209</v>
      </c>
      <c r="E72" s="9" t="s">
        <v>41</v>
      </c>
      <c r="F72" s="9" t="s">
        <v>210</v>
      </c>
    </row>
    <row r="73" spans="1:6" ht="16" x14ac:dyDescent="0.2">
      <c r="A73" s="9">
        <v>72</v>
      </c>
      <c r="B73" s="16" t="s">
        <v>180</v>
      </c>
      <c r="C73" s="17" t="s">
        <v>211</v>
      </c>
      <c r="D73" s="9" t="s">
        <v>212</v>
      </c>
      <c r="E73" s="9" t="s">
        <v>36</v>
      </c>
      <c r="F73" s="9" t="s">
        <v>213</v>
      </c>
    </row>
    <row r="74" spans="1:6" ht="16" x14ac:dyDescent="0.2">
      <c r="A74" s="9">
        <v>73</v>
      </c>
      <c r="B74" s="16" t="s">
        <v>180</v>
      </c>
      <c r="C74" s="17" t="s">
        <v>214</v>
      </c>
      <c r="D74" s="9" t="s">
        <v>215</v>
      </c>
      <c r="E74" s="9" t="s">
        <v>24</v>
      </c>
      <c r="F74" s="9" t="s">
        <v>216</v>
      </c>
    </row>
    <row r="75" spans="1:6" ht="16" x14ac:dyDescent="0.2">
      <c r="A75" s="9">
        <v>74</v>
      </c>
      <c r="B75" s="16" t="s">
        <v>180</v>
      </c>
      <c r="C75" s="17" t="s">
        <v>217</v>
      </c>
      <c r="D75" s="9" t="s">
        <v>218</v>
      </c>
      <c r="E75" s="9" t="s">
        <v>16</v>
      </c>
      <c r="F75" s="9" t="s">
        <v>219</v>
      </c>
    </row>
    <row r="76" spans="1:6" ht="16" x14ac:dyDescent="0.2">
      <c r="A76" s="9">
        <v>75</v>
      </c>
      <c r="B76" s="16" t="s">
        <v>180</v>
      </c>
      <c r="C76" s="17" t="s">
        <v>220</v>
      </c>
      <c r="D76" s="18" t="s">
        <v>221</v>
      </c>
      <c r="E76" s="9" t="s">
        <v>26</v>
      </c>
      <c r="F76" s="9" t="s">
        <v>222</v>
      </c>
    </row>
    <row r="77" spans="1:6" ht="16" x14ac:dyDescent="0.2">
      <c r="A77" s="9">
        <v>76</v>
      </c>
      <c r="B77" s="16" t="s">
        <v>180</v>
      </c>
      <c r="C77" s="17" t="s">
        <v>223</v>
      </c>
      <c r="D77" s="9" t="s">
        <v>224</v>
      </c>
      <c r="E77" s="9" t="s">
        <v>39</v>
      </c>
      <c r="F77" s="9" t="s">
        <v>225</v>
      </c>
    </row>
    <row r="78" spans="1:6" ht="16" x14ac:dyDescent="0.2">
      <c r="A78" s="9">
        <v>77</v>
      </c>
      <c r="B78" s="16" t="s">
        <v>180</v>
      </c>
      <c r="C78" s="17" t="s">
        <v>226</v>
      </c>
      <c r="D78" s="18" t="s">
        <v>227</v>
      </c>
      <c r="E78" s="9" t="s">
        <v>37</v>
      </c>
      <c r="F78" s="9" t="s">
        <v>222</v>
      </c>
    </row>
    <row r="79" spans="1:6" ht="16" x14ac:dyDescent="0.2">
      <c r="A79" s="9">
        <v>78</v>
      </c>
      <c r="B79" s="16" t="s">
        <v>180</v>
      </c>
      <c r="C79" s="17" t="s">
        <v>228</v>
      </c>
      <c r="D79" s="18" t="s">
        <v>229</v>
      </c>
      <c r="E79" s="9" t="s">
        <v>42</v>
      </c>
      <c r="F79" s="9" t="s">
        <v>222</v>
      </c>
    </row>
    <row r="80" spans="1:6" ht="16" x14ac:dyDescent="0.2">
      <c r="A80" s="9">
        <v>79</v>
      </c>
      <c r="B80" s="16" t="s">
        <v>180</v>
      </c>
      <c r="C80" s="17" t="s">
        <v>230</v>
      </c>
      <c r="D80" s="9" t="s">
        <v>231</v>
      </c>
      <c r="E80" s="9" t="s">
        <v>16</v>
      </c>
      <c r="F80" s="9" t="s">
        <v>232</v>
      </c>
    </row>
    <row r="81" spans="1:6" ht="16" x14ac:dyDescent="0.2">
      <c r="A81" s="9">
        <v>80</v>
      </c>
      <c r="B81" s="16" t="s">
        <v>180</v>
      </c>
      <c r="C81" s="17" t="s">
        <v>233</v>
      </c>
      <c r="D81" s="9" t="s">
        <v>234</v>
      </c>
      <c r="E81" s="9" t="s">
        <v>5</v>
      </c>
      <c r="F81" s="9" t="s">
        <v>235</v>
      </c>
    </row>
    <row r="82" spans="1:6" ht="16" x14ac:dyDescent="0.2">
      <c r="A82" s="9">
        <v>81</v>
      </c>
      <c r="B82" s="16" t="s">
        <v>180</v>
      </c>
      <c r="C82" s="17" t="s">
        <v>236</v>
      </c>
      <c r="D82" s="18" t="s">
        <v>237</v>
      </c>
      <c r="E82" s="9" t="s">
        <v>30</v>
      </c>
      <c r="F82" s="9" t="s">
        <v>222</v>
      </c>
    </row>
    <row r="83" spans="1:6" ht="16" x14ac:dyDescent="0.2">
      <c r="A83" s="9">
        <v>82</v>
      </c>
      <c r="B83" s="16" t="s">
        <v>180</v>
      </c>
      <c r="C83" s="17" t="s">
        <v>238</v>
      </c>
      <c r="D83" s="9" t="s">
        <v>239</v>
      </c>
      <c r="E83" s="9" t="s">
        <v>15</v>
      </c>
      <c r="F83" s="9" t="s">
        <v>240</v>
      </c>
    </row>
    <row r="84" spans="1:6" ht="16" x14ac:dyDescent="0.2">
      <c r="A84" s="9">
        <v>83</v>
      </c>
      <c r="B84" s="16" t="s">
        <v>180</v>
      </c>
      <c r="C84" s="17" t="s">
        <v>241</v>
      </c>
      <c r="D84" s="18" t="s">
        <v>242</v>
      </c>
      <c r="E84" s="9" t="s">
        <v>41</v>
      </c>
      <c r="F84" s="9" t="s">
        <v>222</v>
      </c>
    </row>
    <row r="85" spans="1:6" ht="16" x14ac:dyDescent="0.2">
      <c r="A85" s="9">
        <v>84</v>
      </c>
      <c r="B85" s="16" t="s">
        <v>180</v>
      </c>
      <c r="C85" s="17" t="s">
        <v>243</v>
      </c>
      <c r="D85" s="18" t="s">
        <v>244</v>
      </c>
      <c r="E85" s="9" t="s">
        <v>19</v>
      </c>
      <c r="F85" s="9" t="s">
        <v>222</v>
      </c>
    </row>
    <row r="86" spans="1:6" ht="16" x14ac:dyDescent="0.2">
      <c r="A86" s="9">
        <v>85</v>
      </c>
      <c r="B86" s="16" t="s">
        <v>180</v>
      </c>
      <c r="C86" s="17" t="s">
        <v>245</v>
      </c>
      <c r="D86" s="9" t="s">
        <v>246</v>
      </c>
      <c r="E86" s="9" t="s">
        <v>12</v>
      </c>
      <c r="F86" s="9" t="s">
        <v>247</v>
      </c>
    </row>
    <row r="87" spans="1:6" ht="16" x14ac:dyDescent="0.2">
      <c r="A87" s="9">
        <v>86</v>
      </c>
      <c r="B87" s="16" t="s">
        <v>180</v>
      </c>
      <c r="C87" s="17" t="s">
        <v>248</v>
      </c>
      <c r="D87" s="18" t="s">
        <v>249</v>
      </c>
      <c r="E87" s="9" t="s">
        <v>29</v>
      </c>
      <c r="F87" s="9" t="s">
        <v>222</v>
      </c>
    </row>
    <row r="88" spans="1:6" ht="16" x14ac:dyDescent="0.2">
      <c r="A88" s="9">
        <v>87</v>
      </c>
      <c r="B88" s="16" t="s">
        <v>250</v>
      </c>
      <c r="C88" s="17" t="s">
        <v>251</v>
      </c>
      <c r="D88" s="18" t="s">
        <v>252</v>
      </c>
      <c r="E88" s="9" t="s">
        <v>34</v>
      </c>
      <c r="F88" s="9" t="s">
        <v>222</v>
      </c>
    </row>
    <row r="89" spans="1:6" ht="16" x14ac:dyDescent="0.2">
      <c r="A89" s="9">
        <v>88</v>
      </c>
      <c r="B89" s="16" t="s">
        <v>250</v>
      </c>
      <c r="C89" s="17" t="s">
        <v>253</v>
      </c>
      <c r="D89" s="9" t="s">
        <v>254</v>
      </c>
      <c r="E89" s="9" t="s">
        <v>40</v>
      </c>
      <c r="F89" s="9" t="s">
        <v>255</v>
      </c>
    </row>
    <row r="90" spans="1:6" ht="16" x14ac:dyDescent="0.2">
      <c r="A90" s="9">
        <v>89</v>
      </c>
      <c r="B90" s="16" t="s">
        <v>250</v>
      </c>
      <c r="C90" s="17" t="s">
        <v>256</v>
      </c>
      <c r="D90" s="9" t="s">
        <v>257</v>
      </c>
      <c r="E90" s="9" t="s">
        <v>16</v>
      </c>
      <c r="F90" s="9" t="s">
        <v>258</v>
      </c>
    </row>
    <row r="91" spans="1:6" ht="16" x14ac:dyDescent="0.2">
      <c r="A91" s="9">
        <v>90</v>
      </c>
      <c r="B91" s="16" t="s">
        <v>250</v>
      </c>
      <c r="C91" s="17" t="s">
        <v>259</v>
      </c>
      <c r="D91" s="9" t="s">
        <v>260</v>
      </c>
      <c r="E91" s="9" t="s">
        <v>14</v>
      </c>
      <c r="F91" s="9" t="s">
        <v>261</v>
      </c>
    </row>
    <row r="92" spans="1:6" ht="16" x14ac:dyDescent="0.2">
      <c r="A92" s="9">
        <v>91</v>
      </c>
      <c r="B92" s="16" t="s">
        <v>250</v>
      </c>
      <c r="C92" s="17" t="s">
        <v>262</v>
      </c>
      <c r="D92" s="9" t="s">
        <v>263</v>
      </c>
      <c r="E92" s="9" t="s">
        <v>8</v>
      </c>
      <c r="F92" s="9" t="s">
        <v>264</v>
      </c>
    </row>
    <row r="93" spans="1:6" ht="16" x14ac:dyDescent="0.2">
      <c r="A93" s="9">
        <v>92</v>
      </c>
      <c r="B93" s="16" t="s">
        <v>250</v>
      </c>
      <c r="C93" s="17" t="s">
        <v>265</v>
      </c>
      <c r="D93" s="18" t="s">
        <v>266</v>
      </c>
      <c r="E93" s="9" t="s">
        <v>39</v>
      </c>
      <c r="F93" s="9" t="s">
        <v>222</v>
      </c>
    </row>
    <row r="94" spans="1:6" ht="16" x14ac:dyDescent="0.2">
      <c r="A94" s="9">
        <v>93</v>
      </c>
      <c r="B94" s="16" t="s">
        <v>250</v>
      </c>
      <c r="C94" s="17" t="s">
        <v>267</v>
      </c>
      <c r="D94" s="9" t="s">
        <v>268</v>
      </c>
      <c r="E94" s="9" t="s">
        <v>23</v>
      </c>
      <c r="F94" s="9" t="s">
        <v>269</v>
      </c>
    </row>
    <row r="95" spans="1:6" ht="16" x14ac:dyDescent="0.2">
      <c r="A95" s="9">
        <v>94</v>
      </c>
      <c r="B95" s="16" t="s">
        <v>250</v>
      </c>
      <c r="C95" s="17" t="s">
        <v>270</v>
      </c>
      <c r="D95" s="9" t="s">
        <v>271</v>
      </c>
      <c r="E95" s="9" t="s">
        <v>32</v>
      </c>
      <c r="F95" s="9" t="s">
        <v>272</v>
      </c>
    </row>
    <row r="96" spans="1:6" ht="16" x14ac:dyDescent="0.2">
      <c r="A96" s="9">
        <v>95</v>
      </c>
      <c r="B96" s="16" t="s">
        <v>250</v>
      </c>
      <c r="C96" s="17" t="s">
        <v>273</v>
      </c>
      <c r="D96" s="9" t="s">
        <v>274</v>
      </c>
      <c r="E96" s="9" t="s">
        <v>30</v>
      </c>
      <c r="F96" s="9" t="s">
        <v>275</v>
      </c>
    </row>
    <row r="97" spans="1:6" ht="16" x14ac:dyDescent="0.2">
      <c r="A97" s="9">
        <v>96</v>
      </c>
      <c r="B97" s="16" t="s">
        <v>250</v>
      </c>
      <c r="C97" s="17" t="s">
        <v>276</v>
      </c>
      <c r="D97" s="9" t="s">
        <v>161</v>
      </c>
      <c r="E97" s="9" t="s">
        <v>12</v>
      </c>
      <c r="F97" s="9" t="s">
        <v>543</v>
      </c>
    </row>
    <row r="98" spans="1:6" ht="16" x14ac:dyDescent="0.2">
      <c r="A98" s="9">
        <v>97</v>
      </c>
      <c r="B98" s="16" t="s">
        <v>250</v>
      </c>
      <c r="C98" s="17" t="s">
        <v>277</v>
      </c>
      <c r="D98" s="18" t="s">
        <v>278</v>
      </c>
      <c r="E98" s="9" t="s">
        <v>37</v>
      </c>
      <c r="F98" s="9" t="s">
        <v>222</v>
      </c>
    </row>
    <row r="99" spans="1:6" ht="16" x14ac:dyDescent="0.2">
      <c r="A99" s="9">
        <v>98</v>
      </c>
      <c r="B99" s="16" t="s">
        <v>250</v>
      </c>
      <c r="C99" s="17" t="s">
        <v>279</v>
      </c>
      <c r="D99" s="9" t="s">
        <v>280</v>
      </c>
      <c r="E99" s="9" t="s">
        <v>10</v>
      </c>
      <c r="F99" s="9" t="s">
        <v>281</v>
      </c>
    </row>
    <row r="100" spans="1:6" ht="16" x14ac:dyDescent="0.2">
      <c r="A100" s="9">
        <v>99</v>
      </c>
      <c r="B100" s="16" t="s">
        <v>250</v>
      </c>
      <c r="C100" s="17" t="s">
        <v>282</v>
      </c>
      <c r="D100" s="9" t="s">
        <v>283</v>
      </c>
      <c r="E100" s="9" t="s">
        <v>20</v>
      </c>
      <c r="F100" s="9" t="s">
        <v>284</v>
      </c>
    </row>
    <row r="101" spans="1:6" ht="16" x14ac:dyDescent="0.2">
      <c r="A101" s="9">
        <v>100</v>
      </c>
      <c r="B101" s="16" t="s">
        <v>250</v>
      </c>
      <c r="C101" s="17" t="s">
        <v>285</v>
      </c>
      <c r="D101" s="18" t="s">
        <v>286</v>
      </c>
      <c r="E101" s="9" t="s">
        <v>5</v>
      </c>
      <c r="F101" s="9" t="s">
        <v>222</v>
      </c>
    </row>
    <row r="102" spans="1:6" ht="16" x14ac:dyDescent="0.2">
      <c r="A102" s="9">
        <v>101</v>
      </c>
      <c r="B102" s="16" t="s">
        <v>250</v>
      </c>
      <c r="C102" s="17" t="s">
        <v>287</v>
      </c>
      <c r="D102" s="9" t="s">
        <v>288</v>
      </c>
      <c r="E102" s="9" t="s">
        <v>33</v>
      </c>
      <c r="F102" s="9" t="s">
        <v>289</v>
      </c>
    </row>
    <row r="103" spans="1:6" ht="16" x14ac:dyDescent="0.2">
      <c r="A103" s="9">
        <v>102</v>
      </c>
      <c r="B103" s="16" t="s">
        <v>250</v>
      </c>
      <c r="C103" s="17" t="s">
        <v>290</v>
      </c>
      <c r="D103" s="9" t="s">
        <v>291</v>
      </c>
      <c r="E103" s="9" t="s">
        <v>34</v>
      </c>
      <c r="F103" s="9" t="s">
        <v>292</v>
      </c>
    </row>
    <row r="104" spans="1:6" ht="16" x14ac:dyDescent="0.2">
      <c r="A104" s="9">
        <v>103</v>
      </c>
      <c r="B104" s="16" t="s">
        <v>250</v>
      </c>
      <c r="C104" s="17" t="s">
        <v>293</v>
      </c>
      <c r="D104" s="9" t="s">
        <v>294</v>
      </c>
      <c r="E104" s="9" t="s">
        <v>20</v>
      </c>
      <c r="F104" s="9" t="s">
        <v>295</v>
      </c>
    </row>
    <row r="105" spans="1:6" ht="16" x14ac:dyDescent="0.2">
      <c r="A105" s="9">
        <v>104</v>
      </c>
      <c r="B105" s="16" t="s">
        <v>250</v>
      </c>
      <c r="C105" s="17" t="s">
        <v>296</v>
      </c>
      <c r="D105" s="9" t="s">
        <v>297</v>
      </c>
      <c r="E105" s="9" t="s">
        <v>31</v>
      </c>
      <c r="F105" s="9" t="s">
        <v>298</v>
      </c>
    </row>
    <row r="106" spans="1:6" ht="16" x14ac:dyDescent="0.2">
      <c r="A106" s="9">
        <v>105</v>
      </c>
      <c r="B106" s="16" t="s">
        <v>250</v>
      </c>
      <c r="C106" s="17" t="s">
        <v>299</v>
      </c>
      <c r="D106" s="18" t="s">
        <v>300</v>
      </c>
      <c r="E106" s="9" t="s">
        <v>5</v>
      </c>
      <c r="F106" s="9" t="s">
        <v>222</v>
      </c>
    </row>
    <row r="107" spans="1:6" ht="16" x14ac:dyDescent="0.2">
      <c r="A107" s="9">
        <v>106</v>
      </c>
      <c r="B107" s="16" t="s">
        <v>250</v>
      </c>
      <c r="C107" s="17" t="s">
        <v>301</v>
      </c>
      <c r="D107" s="9" t="s">
        <v>161</v>
      </c>
      <c r="E107" s="9" t="s">
        <v>12</v>
      </c>
      <c r="F107" s="9" t="s">
        <v>543</v>
      </c>
    </row>
    <row r="108" spans="1:6" ht="16" x14ac:dyDescent="0.2">
      <c r="A108" s="9">
        <v>107</v>
      </c>
      <c r="B108" s="16" t="s">
        <v>250</v>
      </c>
      <c r="C108" s="17" t="s">
        <v>302</v>
      </c>
      <c r="D108" s="9" t="s">
        <v>303</v>
      </c>
      <c r="E108" s="9" t="s">
        <v>37</v>
      </c>
      <c r="F108" s="9" t="s">
        <v>304</v>
      </c>
    </row>
    <row r="109" spans="1:6" ht="16" x14ac:dyDescent="0.2">
      <c r="A109" s="9">
        <v>108</v>
      </c>
      <c r="B109" s="16" t="s">
        <v>250</v>
      </c>
      <c r="C109" s="17" t="s">
        <v>305</v>
      </c>
      <c r="D109" s="18" t="s">
        <v>306</v>
      </c>
      <c r="E109" s="9" t="s">
        <v>18</v>
      </c>
      <c r="F109" s="9" t="s">
        <v>222</v>
      </c>
    </row>
    <row r="110" spans="1:6" ht="16" x14ac:dyDescent="0.2">
      <c r="A110" s="9">
        <v>109</v>
      </c>
      <c r="B110" s="16" t="s">
        <v>250</v>
      </c>
      <c r="C110" s="17" t="s">
        <v>307</v>
      </c>
      <c r="D110" s="18" t="s">
        <v>308</v>
      </c>
      <c r="E110" s="9" t="s">
        <v>29</v>
      </c>
      <c r="F110" s="9" t="s">
        <v>222</v>
      </c>
    </row>
    <row r="111" spans="1:6" ht="16" x14ac:dyDescent="0.2">
      <c r="A111" s="9">
        <v>110</v>
      </c>
      <c r="B111" s="16" t="s">
        <v>250</v>
      </c>
      <c r="C111" s="17" t="s">
        <v>309</v>
      </c>
      <c r="D111" s="9" t="s">
        <v>161</v>
      </c>
      <c r="E111" s="9" t="s">
        <v>12</v>
      </c>
      <c r="F111" s="9" t="s">
        <v>543</v>
      </c>
    </row>
    <row r="112" spans="1:6" ht="16" x14ac:dyDescent="0.2">
      <c r="A112" s="9">
        <v>111</v>
      </c>
      <c r="B112" s="16" t="s">
        <v>250</v>
      </c>
      <c r="C112" s="17" t="s">
        <v>310</v>
      </c>
      <c r="D112" s="9" t="s">
        <v>161</v>
      </c>
      <c r="E112" s="9" t="s">
        <v>12</v>
      </c>
      <c r="F112" s="9" t="s">
        <v>543</v>
      </c>
    </row>
    <row r="113" spans="1:6" ht="16" x14ac:dyDescent="0.2">
      <c r="A113" s="9">
        <v>112</v>
      </c>
      <c r="B113" s="16" t="s">
        <v>250</v>
      </c>
      <c r="C113" s="17" t="s">
        <v>311</v>
      </c>
      <c r="D113" s="9" t="s">
        <v>161</v>
      </c>
      <c r="E113" s="9" t="s">
        <v>12</v>
      </c>
      <c r="F113" s="9" t="s">
        <v>543</v>
      </c>
    </row>
    <row r="114" spans="1:6" ht="16" x14ac:dyDescent="0.2">
      <c r="A114" s="9">
        <v>113</v>
      </c>
      <c r="B114" s="16" t="s">
        <v>250</v>
      </c>
      <c r="C114" s="17" t="s">
        <v>312</v>
      </c>
      <c r="D114" s="9" t="s">
        <v>161</v>
      </c>
      <c r="E114" s="9" t="s">
        <v>12</v>
      </c>
      <c r="F114" s="9" t="s">
        <v>543</v>
      </c>
    </row>
    <row r="115" spans="1:6" ht="16" x14ac:dyDescent="0.2">
      <c r="A115" s="9">
        <v>114</v>
      </c>
      <c r="B115" s="16" t="s">
        <v>250</v>
      </c>
      <c r="C115" s="17" t="s">
        <v>313</v>
      </c>
      <c r="D115" s="9" t="s">
        <v>314</v>
      </c>
      <c r="E115" s="9" t="s">
        <v>24</v>
      </c>
      <c r="F115" s="9" t="s">
        <v>315</v>
      </c>
    </row>
    <row r="116" spans="1:6" ht="16" x14ac:dyDescent="0.2">
      <c r="A116" s="9">
        <v>115</v>
      </c>
      <c r="B116" s="16" t="s">
        <v>250</v>
      </c>
      <c r="C116" s="17" t="s">
        <v>316</v>
      </c>
      <c r="D116" s="9" t="s">
        <v>317</v>
      </c>
      <c r="E116" s="9" t="s">
        <v>6</v>
      </c>
      <c r="F116" s="9" t="s">
        <v>318</v>
      </c>
    </row>
    <row r="117" spans="1:6" ht="16" x14ac:dyDescent="0.2">
      <c r="A117" s="9">
        <v>116</v>
      </c>
      <c r="B117" s="16" t="s">
        <v>250</v>
      </c>
      <c r="C117" s="17" t="s">
        <v>319</v>
      </c>
      <c r="D117" s="9" t="s">
        <v>320</v>
      </c>
      <c r="E117" s="9" t="s">
        <v>36</v>
      </c>
      <c r="F117" s="9" t="s">
        <v>321</v>
      </c>
    </row>
    <row r="118" spans="1:6" ht="16" x14ac:dyDescent="0.2">
      <c r="A118" s="9">
        <v>117</v>
      </c>
      <c r="B118" s="16" t="s">
        <v>250</v>
      </c>
      <c r="C118" s="17" t="s">
        <v>322</v>
      </c>
      <c r="D118" s="9" t="s">
        <v>323</v>
      </c>
      <c r="E118" s="9" t="s">
        <v>42</v>
      </c>
      <c r="F118" s="9" t="s">
        <v>324</v>
      </c>
    </row>
    <row r="119" spans="1:6" ht="16" x14ac:dyDescent="0.2">
      <c r="A119" s="9">
        <v>118</v>
      </c>
      <c r="B119" s="16" t="s">
        <v>250</v>
      </c>
      <c r="C119" s="17" t="s">
        <v>325</v>
      </c>
      <c r="D119" s="9" t="s">
        <v>326</v>
      </c>
      <c r="E119" s="9" t="s">
        <v>12</v>
      </c>
      <c r="F119" s="9" t="s">
        <v>327</v>
      </c>
    </row>
    <row r="120" spans="1:6" ht="16" x14ac:dyDescent="0.2">
      <c r="A120" s="9">
        <v>119</v>
      </c>
      <c r="B120" s="16" t="s">
        <v>250</v>
      </c>
      <c r="C120" s="17" t="s">
        <v>328</v>
      </c>
      <c r="D120" s="9" t="s">
        <v>329</v>
      </c>
      <c r="E120" s="9" t="s">
        <v>7</v>
      </c>
      <c r="F120" s="9" t="s">
        <v>330</v>
      </c>
    </row>
    <row r="121" spans="1:6" ht="16" x14ac:dyDescent="0.2">
      <c r="A121" s="9">
        <v>120</v>
      </c>
      <c r="B121" s="16" t="s">
        <v>250</v>
      </c>
      <c r="C121" s="17" t="s">
        <v>331</v>
      </c>
      <c r="D121" s="9" t="s">
        <v>332</v>
      </c>
      <c r="E121" s="9" t="s">
        <v>17</v>
      </c>
      <c r="F121" s="9" t="s">
        <v>333</v>
      </c>
    </row>
    <row r="122" spans="1:6" ht="16" x14ac:dyDescent="0.2">
      <c r="A122" s="9">
        <v>121</v>
      </c>
      <c r="B122" s="16" t="s">
        <v>250</v>
      </c>
      <c r="C122" s="17" t="s">
        <v>334</v>
      </c>
      <c r="D122" s="9" t="s">
        <v>335</v>
      </c>
      <c r="E122" s="9" t="s">
        <v>18</v>
      </c>
      <c r="F122" s="9" t="s">
        <v>336</v>
      </c>
    </row>
    <row r="123" spans="1:6" ht="16" x14ac:dyDescent="0.2">
      <c r="A123" s="9">
        <v>122</v>
      </c>
      <c r="B123" s="16" t="s">
        <v>250</v>
      </c>
      <c r="C123" s="17" t="s">
        <v>337</v>
      </c>
      <c r="D123" s="9" t="s">
        <v>338</v>
      </c>
      <c r="E123" s="9" t="s">
        <v>16</v>
      </c>
      <c r="F123" s="9" t="s">
        <v>339</v>
      </c>
    </row>
    <row r="124" spans="1:6" ht="16" x14ac:dyDescent="0.2">
      <c r="A124" s="9">
        <v>123</v>
      </c>
      <c r="B124" s="16" t="s">
        <v>250</v>
      </c>
      <c r="C124" s="17" t="s">
        <v>340</v>
      </c>
      <c r="D124" s="9" t="s">
        <v>341</v>
      </c>
      <c r="E124" s="9" t="s">
        <v>25</v>
      </c>
      <c r="F124" s="9" t="s">
        <v>342</v>
      </c>
    </row>
    <row r="125" spans="1:6" ht="16" x14ac:dyDescent="0.2">
      <c r="A125" s="9">
        <v>124</v>
      </c>
      <c r="B125" s="16" t="s">
        <v>250</v>
      </c>
      <c r="C125" s="17" t="s">
        <v>343</v>
      </c>
      <c r="D125" s="9" t="s">
        <v>344</v>
      </c>
      <c r="E125" s="9" t="s">
        <v>21</v>
      </c>
      <c r="F125" s="9" t="s">
        <v>345</v>
      </c>
    </row>
    <row r="126" spans="1:6" ht="16" x14ac:dyDescent="0.2">
      <c r="A126" s="9">
        <v>125</v>
      </c>
      <c r="B126" s="16" t="s">
        <v>250</v>
      </c>
      <c r="C126" s="17" t="s">
        <v>346</v>
      </c>
      <c r="D126" s="9" t="s">
        <v>347</v>
      </c>
      <c r="E126" s="9" t="s">
        <v>15</v>
      </c>
      <c r="F126" s="9" t="s">
        <v>348</v>
      </c>
    </row>
    <row r="127" spans="1:6" ht="16" x14ac:dyDescent="0.2">
      <c r="A127" s="9">
        <v>126</v>
      </c>
      <c r="B127" s="16" t="s">
        <v>250</v>
      </c>
      <c r="C127" s="17" t="s">
        <v>349</v>
      </c>
      <c r="D127" s="9" t="s">
        <v>350</v>
      </c>
      <c r="E127" s="9" t="s">
        <v>24</v>
      </c>
      <c r="F127" s="9" t="s">
        <v>351</v>
      </c>
    </row>
    <row r="128" spans="1:6" ht="16" x14ac:dyDescent="0.2">
      <c r="A128" s="9">
        <v>127</v>
      </c>
      <c r="B128" s="16" t="s">
        <v>250</v>
      </c>
      <c r="C128" s="17" t="s">
        <v>352</v>
      </c>
      <c r="D128" s="9" t="s">
        <v>353</v>
      </c>
      <c r="E128" s="9" t="s">
        <v>41</v>
      </c>
      <c r="F128" s="9" t="s">
        <v>354</v>
      </c>
    </row>
    <row r="129" spans="1:6" ht="16" x14ac:dyDescent="0.2">
      <c r="A129" s="9">
        <v>128</v>
      </c>
      <c r="B129" s="16" t="s">
        <v>250</v>
      </c>
      <c r="C129" s="17" t="s">
        <v>355</v>
      </c>
      <c r="D129" s="9" t="s">
        <v>356</v>
      </c>
      <c r="E129" s="9" t="s">
        <v>29</v>
      </c>
      <c r="F129" s="9" t="s">
        <v>357</v>
      </c>
    </row>
    <row r="130" spans="1:6" ht="16" x14ac:dyDescent="0.2">
      <c r="A130" s="9">
        <v>129</v>
      </c>
      <c r="B130" s="16" t="s">
        <v>250</v>
      </c>
      <c r="C130" s="17" t="s">
        <v>358</v>
      </c>
      <c r="D130" s="9" t="s">
        <v>359</v>
      </c>
      <c r="E130" s="9" t="s">
        <v>26</v>
      </c>
      <c r="F130" s="9" t="s">
        <v>360</v>
      </c>
    </row>
    <row r="131" spans="1:6" ht="16" x14ac:dyDescent="0.2">
      <c r="A131" s="9">
        <v>130</v>
      </c>
      <c r="B131" s="16" t="s">
        <v>250</v>
      </c>
      <c r="C131" s="17" t="s">
        <v>361</v>
      </c>
      <c r="D131" s="9" t="s">
        <v>362</v>
      </c>
      <c r="E131" s="9" t="s">
        <v>21</v>
      </c>
      <c r="F131" s="9" t="s">
        <v>363</v>
      </c>
    </row>
    <row r="132" spans="1:6" ht="16" x14ac:dyDescent="0.2">
      <c r="A132" s="9">
        <v>131</v>
      </c>
      <c r="B132" s="16" t="s">
        <v>250</v>
      </c>
      <c r="C132" s="17" t="s">
        <v>364</v>
      </c>
      <c r="D132" s="9" t="s">
        <v>365</v>
      </c>
      <c r="E132" s="9" t="s">
        <v>19</v>
      </c>
      <c r="F132" s="9" t="s">
        <v>366</v>
      </c>
    </row>
    <row r="133" spans="1:6" ht="16" x14ac:dyDescent="0.2">
      <c r="A133" s="9">
        <v>132</v>
      </c>
      <c r="B133" s="16" t="s">
        <v>250</v>
      </c>
      <c r="C133" s="17" t="s">
        <v>367</v>
      </c>
      <c r="D133" s="9" t="s">
        <v>368</v>
      </c>
      <c r="E133" s="9" t="s">
        <v>28</v>
      </c>
      <c r="F133" s="9" t="s">
        <v>369</v>
      </c>
    </row>
    <row r="134" spans="1:6" ht="16" x14ac:dyDescent="0.2">
      <c r="A134" s="9">
        <v>133</v>
      </c>
      <c r="B134" s="16" t="s">
        <v>250</v>
      </c>
      <c r="C134" s="17" t="s">
        <v>370</v>
      </c>
      <c r="D134" s="9" t="s">
        <v>371</v>
      </c>
      <c r="E134" s="9" t="s">
        <v>17</v>
      </c>
      <c r="F134" s="9" t="s">
        <v>372</v>
      </c>
    </row>
    <row r="135" spans="1:6" ht="16" x14ac:dyDescent="0.2">
      <c r="A135" s="9">
        <v>134</v>
      </c>
      <c r="B135" s="16" t="s">
        <v>250</v>
      </c>
      <c r="C135" s="17" t="s">
        <v>373</v>
      </c>
      <c r="D135" s="9" t="s">
        <v>374</v>
      </c>
      <c r="E135" s="9" t="s">
        <v>39</v>
      </c>
      <c r="F135" s="9" t="s">
        <v>375</v>
      </c>
    </row>
    <row r="136" spans="1:6" ht="16" x14ac:dyDescent="0.2">
      <c r="A136" s="9">
        <v>135</v>
      </c>
      <c r="B136" s="16" t="s">
        <v>250</v>
      </c>
      <c r="C136" s="17" t="s">
        <v>376</v>
      </c>
      <c r="D136" s="9" t="s">
        <v>377</v>
      </c>
      <c r="E136" s="9" t="s">
        <v>24</v>
      </c>
      <c r="F136" s="9" t="s">
        <v>378</v>
      </c>
    </row>
    <row r="137" spans="1:6" ht="16" x14ac:dyDescent="0.2">
      <c r="A137" s="9">
        <v>136</v>
      </c>
      <c r="B137" s="16" t="s">
        <v>250</v>
      </c>
      <c r="C137" s="17" t="s">
        <v>379</v>
      </c>
      <c r="D137" s="9" t="s">
        <v>380</v>
      </c>
      <c r="E137" s="9" t="s">
        <v>22</v>
      </c>
      <c r="F137" s="9" t="s">
        <v>381</v>
      </c>
    </row>
    <row r="138" spans="1:6" ht="16" x14ac:dyDescent="0.2">
      <c r="A138" s="9">
        <v>137</v>
      </c>
      <c r="B138" s="16" t="s">
        <v>250</v>
      </c>
      <c r="C138" s="17" t="s">
        <v>382</v>
      </c>
      <c r="D138" s="18" t="s">
        <v>383</v>
      </c>
      <c r="E138" s="9" t="s">
        <v>7</v>
      </c>
      <c r="F138" s="9" t="s">
        <v>222</v>
      </c>
    </row>
    <row r="139" spans="1:6" ht="16" x14ac:dyDescent="0.2">
      <c r="A139" s="9">
        <v>138</v>
      </c>
      <c r="B139" s="16" t="s">
        <v>250</v>
      </c>
      <c r="C139" s="17" t="s">
        <v>384</v>
      </c>
      <c r="D139" s="18" t="s">
        <v>385</v>
      </c>
      <c r="E139" s="9" t="s">
        <v>5</v>
      </c>
      <c r="F139" s="9" t="s">
        <v>222</v>
      </c>
    </row>
    <row r="140" spans="1:6" ht="16" x14ac:dyDescent="0.2">
      <c r="A140" s="9">
        <v>139</v>
      </c>
      <c r="B140" s="16" t="s">
        <v>250</v>
      </c>
      <c r="C140" s="17" t="s">
        <v>386</v>
      </c>
      <c r="D140" s="9" t="s">
        <v>387</v>
      </c>
      <c r="E140" s="9" t="s">
        <v>30</v>
      </c>
      <c r="F140" s="9" t="s">
        <v>388</v>
      </c>
    </row>
    <row r="141" spans="1:6" ht="16" x14ac:dyDescent="0.2">
      <c r="A141" s="9">
        <v>140</v>
      </c>
      <c r="B141" s="16" t="s">
        <v>250</v>
      </c>
      <c r="C141" s="17" t="s">
        <v>389</v>
      </c>
      <c r="D141" s="9" t="s">
        <v>390</v>
      </c>
      <c r="E141" s="9" t="s">
        <v>13</v>
      </c>
      <c r="F141" s="9" t="s">
        <v>391</v>
      </c>
    </row>
    <row r="142" spans="1:6" ht="16" x14ac:dyDescent="0.2">
      <c r="A142" s="9">
        <v>141</v>
      </c>
      <c r="B142" s="16" t="s">
        <v>250</v>
      </c>
      <c r="C142" s="17" t="s">
        <v>392</v>
      </c>
      <c r="D142" s="9" t="s">
        <v>393</v>
      </c>
      <c r="E142" s="9" t="s">
        <v>38</v>
      </c>
      <c r="F142" s="9" t="s">
        <v>394</v>
      </c>
    </row>
    <row r="143" spans="1:6" ht="16" x14ac:dyDescent="0.2">
      <c r="A143" s="9">
        <v>142</v>
      </c>
      <c r="B143" s="16" t="s">
        <v>250</v>
      </c>
      <c r="C143" s="17" t="s">
        <v>395</v>
      </c>
      <c r="D143" s="18" t="s">
        <v>396</v>
      </c>
      <c r="E143" s="9" t="s">
        <v>34</v>
      </c>
      <c r="F143" s="9" t="s">
        <v>222</v>
      </c>
    </row>
    <row r="144" spans="1:6" ht="16" x14ac:dyDescent="0.2">
      <c r="A144" s="9">
        <v>143</v>
      </c>
      <c r="B144" s="16" t="s">
        <v>250</v>
      </c>
      <c r="C144" s="17" t="s">
        <v>397</v>
      </c>
      <c r="D144" s="18" t="s">
        <v>398</v>
      </c>
      <c r="E144" s="9" t="s">
        <v>27</v>
      </c>
      <c r="F144" s="9" t="s">
        <v>399</v>
      </c>
    </row>
    <row r="145" spans="1:6" ht="16" x14ac:dyDescent="0.2">
      <c r="A145" s="9">
        <v>144</v>
      </c>
      <c r="B145" s="16" t="s">
        <v>400</v>
      </c>
      <c r="C145" s="17" t="s">
        <v>401</v>
      </c>
      <c r="D145" s="9" t="s">
        <v>161</v>
      </c>
      <c r="E145" s="9" t="s">
        <v>12</v>
      </c>
      <c r="F145" s="9" t="s">
        <v>543</v>
      </c>
    </row>
    <row r="146" spans="1:6" ht="16" x14ac:dyDescent="0.2">
      <c r="A146" s="9">
        <v>145</v>
      </c>
      <c r="B146" s="16" t="s">
        <v>400</v>
      </c>
      <c r="C146" s="17" t="s">
        <v>402</v>
      </c>
      <c r="D146" s="9" t="s">
        <v>161</v>
      </c>
      <c r="E146" s="9" t="s">
        <v>12</v>
      </c>
      <c r="F146" s="9" t="s">
        <v>543</v>
      </c>
    </row>
    <row r="147" spans="1:6" ht="16" x14ac:dyDescent="0.2">
      <c r="A147" s="9">
        <v>146</v>
      </c>
      <c r="B147" s="16" t="s">
        <v>400</v>
      </c>
      <c r="C147" s="17" t="s">
        <v>403</v>
      </c>
      <c r="D147" s="9" t="s">
        <v>161</v>
      </c>
      <c r="E147" s="9" t="s">
        <v>12</v>
      </c>
      <c r="F147" s="9" t="s">
        <v>543</v>
      </c>
    </row>
    <row r="148" spans="1:6" ht="16" x14ac:dyDescent="0.2">
      <c r="A148" s="9">
        <v>147</v>
      </c>
      <c r="B148" s="16" t="s">
        <v>400</v>
      </c>
      <c r="C148" s="17" t="s">
        <v>404</v>
      </c>
      <c r="D148" s="9" t="s">
        <v>161</v>
      </c>
      <c r="E148" s="9" t="s">
        <v>12</v>
      </c>
      <c r="F148" s="9" t="s">
        <v>543</v>
      </c>
    </row>
    <row r="149" spans="1:6" ht="16" x14ac:dyDescent="0.2">
      <c r="A149" s="9">
        <v>148</v>
      </c>
      <c r="B149" s="16" t="s">
        <v>400</v>
      </c>
      <c r="C149" s="17" t="s">
        <v>405</v>
      </c>
      <c r="D149" s="9" t="s">
        <v>161</v>
      </c>
      <c r="E149" s="9" t="s">
        <v>12</v>
      </c>
      <c r="F149" s="9" t="s">
        <v>543</v>
      </c>
    </row>
    <row r="150" spans="1:6" ht="16" x14ac:dyDescent="0.2">
      <c r="A150" s="9">
        <v>149</v>
      </c>
      <c r="B150" s="16" t="s">
        <v>400</v>
      </c>
      <c r="C150" s="17" t="s">
        <v>406</v>
      </c>
      <c r="D150" s="9" t="s">
        <v>161</v>
      </c>
      <c r="E150" s="9" t="s">
        <v>12</v>
      </c>
      <c r="F150" s="9" t="s">
        <v>543</v>
      </c>
    </row>
    <row r="151" spans="1:6" ht="16" x14ac:dyDescent="0.2">
      <c r="A151" s="9">
        <v>150</v>
      </c>
      <c r="B151" s="16" t="s">
        <v>400</v>
      </c>
      <c r="C151" s="17" t="s">
        <v>407</v>
      </c>
      <c r="D151" s="9" t="s">
        <v>408</v>
      </c>
      <c r="E151" s="9" t="s">
        <v>12</v>
      </c>
      <c r="F151" s="9" t="s">
        <v>409</v>
      </c>
    </row>
    <row r="152" spans="1:6" ht="16" x14ac:dyDescent="0.2">
      <c r="A152" s="9">
        <v>151</v>
      </c>
      <c r="B152" s="16" t="s">
        <v>400</v>
      </c>
      <c r="C152" s="17" t="s">
        <v>410</v>
      </c>
      <c r="D152" s="9" t="s">
        <v>411</v>
      </c>
      <c r="E152" s="9" t="s">
        <v>12</v>
      </c>
      <c r="F152" s="9" t="s">
        <v>409</v>
      </c>
    </row>
    <row r="153" spans="1:6" ht="16" x14ac:dyDescent="0.2">
      <c r="A153" s="9">
        <v>152</v>
      </c>
      <c r="B153" s="16" t="s">
        <v>400</v>
      </c>
      <c r="C153" s="17" t="s">
        <v>412</v>
      </c>
      <c r="D153" s="9" t="s">
        <v>413</v>
      </c>
      <c r="E153" s="9" t="s">
        <v>15</v>
      </c>
      <c r="F153" s="9" t="s">
        <v>409</v>
      </c>
    </row>
    <row r="154" spans="1:6" ht="16" x14ac:dyDescent="0.2">
      <c r="A154" s="9">
        <v>153</v>
      </c>
      <c r="B154" s="16" t="s">
        <v>400</v>
      </c>
      <c r="C154" s="17" t="s">
        <v>414</v>
      </c>
      <c r="D154" s="9" t="s">
        <v>415</v>
      </c>
      <c r="E154" s="9" t="s">
        <v>26</v>
      </c>
      <c r="F154" s="9" t="s">
        <v>409</v>
      </c>
    </row>
    <row r="155" spans="1:6" ht="16" x14ac:dyDescent="0.2">
      <c r="A155" s="9">
        <v>154</v>
      </c>
      <c r="B155" s="16" t="s">
        <v>400</v>
      </c>
      <c r="C155" s="17" t="s">
        <v>416</v>
      </c>
      <c r="D155" s="9" t="s">
        <v>417</v>
      </c>
      <c r="E155" s="9" t="s">
        <v>16</v>
      </c>
      <c r="F155" s="9" t="s">
        <v>409</v>
      </c>
    </row>
    <row r="156" spans="1:6" ht="16" x14ac:dyDescent="0.2">
      <c r="A156" s="9">
        <v>155</v>
      </c>
      <c r="B156" s="16" t="s">
        <v>400</v>
      </c>
      <c r="C156" s="17" t="s">
        <v>418</v>
      </c>
      <c r="D156" s="9" t="s">
        <v>419</v>
      </c>
      <c r="E156" s="9" t="s">
        <v>40</v>
      </c>
      <c r="F156" s="9" t="s">
        <v>409</v>
      </c>
    </row>
    <row r="157" spans="1:6" ht="16" x14ac:dyDescent="0.2">
      <c r="A157" s="9">
        <v>156</v>
      </c>
      <c r="B157" s="16" t="s">
        <v>400</v>
      </c>
      <c r="C157" s="17" t="s">
        <v>420</v>
      </c>
      <c r="D157" s="9" t="s">
        <v>421</v>
      </c>
      <c r="E157" s="9" t="s">
        <v>41</v>
      </c>
      <c r="F157" s="9" t="s">
        <v>409</v>
      </c>
    </row>
    <row r="158" spans="1:6" ht="16" x14ac:dyDescent="0.2">
      <c r="A158" s="9">
        <v>157</v>
      </c>
      <c r="B158" s="16" t="s">
        <v>400</v>
      </c>
      <c r="C158" s="17" t="s">
        <v>422</v>
      </c>
      <c r="D158" s="9" t="s">
        <v>423</v>
      </c>
      <c r="E158" s="9" t="s">
        <v>41</v>
      </c>
      <c r="F158" s="9" t="s">
        <v>409</v>
      </c>
    </row>
    <row r="159" spans="1:6" ht="16" x14ac:dyDescent="0.2">
      <c r="A159" s="9">
        <v>158</v>
      </c>
      <c r="B159" s="16" t="s">
        <v>400</v>
      </c>
      <c r="C159" s="17" t="s">
        <v>424</v>
      </c>
      <c r="D159" s="9" t="s">
        <v>425</v>
      </c>
      <c r="E159" s="9" t="s">
        <v>10</v>
      </c>
      <c r="F159" s="9" t="s">
        <v>409</v>
      </c>
    </row>
    <row r="160" spans="1:6" ht="16" x14ac:dyDescent="0.2">
      <c r="A160" s="9">
        <v>159</v>
      </c>
      <c r="B160" s="16" t="s">
        <v>400</v>
      </c>
      <c r="C160" s="17" t="s">
        <v>426</v>
      </c>
      <c r="D160" s="9" t="s">
        <v>427</v>
      </c>
      <c r="E160" s="9" t="s">
        <v>7</v>
      </c>
      <c r="F160" s="9" t="s">
        <v>409</v>
      </c>
    </row>
    <row r="161" spans="1:6" ht="16" x14ac:dyDescent="0.2">
      <c r="A161" s="9">
        <v>160</v>
      </c>
      <c r="B161" s="16" t="s">
        <v>400</v>
      </c>
      <c r="C161" s="17" t="s">
        <v>428</v>
      </c>
      <c r="D161" s="9" t="s">
        <v>429</v>
      </c>
      <c r="E161" s="9" t="s">
        <v>16</v>
      </c>
      <c r="F161" s="9" t="s">
        <v>409</v>
      </c>
    </row>
    <row r="162" spans="1:6" ht="16" x14ac:dyDescent="0.2">
      <c r="A162" s="9">
        <v>161</v>
      </c>
      <c r="B162" s="16" t="s">
        <v>400</v>
      </c>
      <c r="C162" s="17" t="s">
        <v>430</v>
      </c>
      <c r="D162" s="9" t="s">
        <v>431</v>
      </c>
      <c r="E162" s="9" t="s">
        <v>36</v>
      </c>
      <c r="F162" s="9" t="s">
        <v>409</v>
      </c>
    </row>
    <row r="163" spans="1:6" ht="16" x14ac:dyDescent="0.2">
      <c r="A163" s="9">
        <v>162</v>
      </c>
      <c r="B163" s="16" t="s">
        <v>400</v>
      </c>
      <c r="C163" s="17" t="s">
        <v>432</v>
      </c>
      <c r="D163" s="9" t="s">
        <v>433</v>
      </c>
      <c r="E163" s="9" t="s">
        <v>36</v>
      </c>
      <c r="F163" s="9" t="s">
        <v>409</v>
      </c>
    </row>
    <row r="164" spans="1:6" ht="16" x14ac:dyDescent="0.2">
      <c r="A164" s="9">
        <v>163</v>
      </c>
      <c r="B164" s="16" t="s">
        <v>400</v>
      </c>
      <c r="C164" s="17" t="s">
        <v>434</v>
      </c>
      <c r="D164" s="9" t="s">
        <v>435</v>
      </c>
      <c r="E164" s="9" t="s">
        <v>12</v>
      </c>
      <c r="F164" s="9" t="s">
        <v>409</v>
      </c>
    </row>
    <row r="165" spans="1:6" ht="16" x14ac:dyDescent="0.2">
      <c r="A165" s="9">
        <v>164</v>
      </c>
      <c r="B165" s="16" t="s">
        <v>400</v>
      </c>
      <c r="C165" s="17" t="s">
        <v>436</v>
      </c>
      <c r="D165" s="9" t="s">
        <v>437</v>
      </c>
      <c r="E165" s="9" t="s">
        <v>42</v>
      </c>
      <c r="F165" s="9" t="s">
        <v>409</v>
      </c>
    </row>
    <row r="166" spans="1:6" ht="16" x14ac:dyDescent="0.2">
      <c r="A166" s="9">
        <v>165</v>
      </c>
      <c r="B166" s="16" t="s">
        <v>400</v>
      </c>
      <c r="C166" s="17" t="s">
        <v>438</v>
      </c>
      <c r="D166" s="9" t="s">
        <v>439</v>
      </c>
      <c r="E166" s="9" t="s">
        <v>12</v>
      </c>
      <c r="F166" s="9" t="s">
        <v>409</v>
      </c>
    </row>
    <row r="167" spans="1:6" ht="16" x14ac:dyDescent="0.2">
      <c r="A167" s="9">
        <v>166</v>
      </c>
      <c r="B167" s="16" t="s">
        <v>400</v>
      </c>
      <c r="C167" s="17" t="s">
        <v>440</v>
      </c>
      <c r="D167" s="9" t="s">
        <v>441</v>
      </c>
      <c r="E167" s="9" t="s">
        <v>12</v>
      </c>
      <c r="F167" s="9" t="s">
        <v>409</v>
      </c>
    </row>
    <row r="168" spans="1:6" ht="16" x14ac:dyDescent="0.2">
      <c r="A168" s="9">
        <v>167</v>
      </c>
      <c r="B168" s="16" t="s">
        <v>400</v>
      </c>
      <c r="C168" s="17" t="s">
        <v>442</v>
      </c>
      <c r="D168" s="9" t="s">
        <v>443</v>
      </c>
      <c r="E168" s="9" t="s">
        <v>39</v>
      </c>
      <c r="F168" s="9" t="s">
        <v>409</v>
      </c>
    </row>
    <row r="169" spans="1:6" ht="16" x14ac:dyDescent="0.2">
      <c r="A169" s="9">
        <v>168</v>
      </c>
      <c r="B169" s="16" t="s">
        <v>400</v>
      </c>
      <c r="C169" s="17" t="s">
        <v>444</v>
      </c>
      <c r="D169" s="9" t="s">
        <v>445</v>
      </c>
      <c r="E169" s="9" t="s">
        <v>39</v>
      </c>
      <c r="F169" s="9" t="s">
        <v>409</v>
      </c>
    </row>
    <row r="170" spans="1:6" ht="16" x14ac:dyDescent="0.2">
      <c r="A170" s="9">
        <v>169</v>
      </c>
      <c r="B170" s="16" t="s">
        <v>400</v>
      </c>
      <c r="C170" s="17" t="s">
        <v>446</v>
      </c>
      <c r="D170" s="9" t="s">
        <v>447</v>
      </c>
      <c r="E170" s="9" t="s">
        <v>6</v>
      </c>
      <c r="F170" s="9" t="s">
        <v>409</v>
      </c>
    </row>
    <row r="171" spans="1:6" ht="16" x14ac:dyDescent="0.2">
      <c r="A171" s="9">
        <v>170</v>
      </c>
      <c r="B171" s="16" t="s">
        <v>400</v>
      </c>
      <c r="C171" s="17" t="s">
        <v>448</v>
      </c>
      <c r="D171" s="9" t="s">
        <v>449</v>
      </c>
      <c r="E171" s="9" t="s">
        <v>16</v>
      </c>
      <c r="F171" s="9" t="s">
        <v>409</v>
      </c>
    </row>
    <row r="172" spans="1:6" ht="16" x14ac:dyDescent="0.2">
      <c r="A172" s="9">
        <v>171</v>
      </c>
      <c r="B172" s="16" t="s">
        <v>400</v>
      </c>
      <c r="C172" s="17" t="s">
        <v>450</v>
      </c>
      <c r="D172" s="9" t="s">
        <v>451</v>
      </c>
      <c r="E172" s="9" t="s">
        <v>40</v>
      </c>
      <c r="F172" s="9" t="s">
        <v>409</v>
      </c>
    </row>
    <row r="173" spans="1:6" ht="16" x14ac:dyDescent="0.2">
      <c r="A173" s="9">
        <v>172</v>
      </c>
      <c r="B173" s="16" t="s">
        <v>400</v>
      </c>
      <c r="C173" s="17" t="s">
        <v>452</v>
      </c>
      <c r="D173" s="9" t="s">
        <v>453</v>
      </c>
      <c r="E173" s="9" t="s">
        <v>12</v>
      </c>
      <c r="F173" s="9" t="s">
        <v>409</v>
      </c>
    </row>
    <row r="174" spans="1:6" ht="16" x14ac:dyDescent="0.2">
      <c r="A174" s="9">
        <v>173</v>
      </c>
      <c r="B174" s="16" t="s">
        <v>400</v>
      </c>
      <c r="C174" s="17" t="s">
        <v>454</v>
      </c>
      <c r="D174" s="9" t="s">
        <v>455</v>
      </c>
      <c r="E174" s="9" t="s">
        <v>12</v>
      </c>
      <c r="F174" s="9" t="s">
        <v>409</v>
      </c>
    </row>
    <row r="175" spans="1:6" ht="16" x14ac:dyDescent="0.2">
      <c r="A175" s="9">
        <v>174</v>
      </c>
      <c r="B175" s="16" t="s">
        <v>400</v>
      </c>
      <c r="C175" s="17" t="s">
        <v>456</v>
      </c>
      <c r="D175" s="9" t="s">
        <v>457</v>
      </c>
      <c r="E175" s="9" t="s">
        <v>12</v>
      </c>
      <c r="F175" s="9" t="s">
        <v>409</v>
      </c>
    </row>
    <row r="176" spans="1:6" ht="16" x14ac:dyDescent="0.2">
      <c r="A176" s="9">
        <v>175</v>
      </c>
      <c r="B176" s="16" t="s">
        <v>400</v>
      </c>
      <c r="C176" s="17" t="s">
        <v>458</v>
      </c>
      <c r="D176" s="9" t="s">
        <v>459</v>
      </c>
      <c r="E176" s="9" t="s">
        <v>15</v>
      </c>
      <c r="F176" s="9" t="s">
        <v>409</v>
      </c>
    </row>
    <row r="177" spans="1:6" ht="16" x14ac:dyDescent="0.2">
      <c r="A177" s="9">
        <v>176</v>
      </c>
      <c r="B177" s="16" t="s">
        <v>400</v>
      </c>
      <c r="C177" s="17" t="s">
        <v>460</v>
      </c>
      <c r="D177" s="9" t="s">
        <v>461</v>
      </c>
      <c r="E177" s="9" t="s">
        <v>16</v>
      </c>
      <c r="F177" s="9" t="s">
        <v>409</v>
      </c>
    </row>
    <row r="178" spans="1:6" ht="16" x14ac:dyDescent="0.2">
      <c r="A178" s="9">
        <v>177</v>
      </c>
      <c r="B178" s="16" t="s">
        <v>400</v>
      </c>
      <c r="C178" s="17" t="s">
        <v>462</v>
      </c>
      <c r="D178" s="9" t="s">
        <v>463</v>
      </c>
      <c r="E178" s="9" t="s">
        <v>12</v>
      </c>
      <c r="F178" s="9" t="s">
        <v>409</v>
      </c>
    </row>
    <row r="179" spans="1:6" ht="16" x14ac:dyDescent="0.2">
      <c r="A179" s="9">
        <v>178</v>
      </c>
      <c r="B179" s="16" t="s">
        <v>400</v>
      </c>
      <c r="C179" s="17" t="s">
        <v>464</v>
      </c>
      <c r="D179" s="9" t="s">
        <v>465</v>
      </c>
      <c r="E179" s="9" t="s">
        <v>15</v>
      </c>
      <c r="F179" s="9" t="s">
        <v>409</v>
      </c>
    </row>
    <row r="180" spans="1:6" ht="16" x14ac:dyDescent="0.2">
      <c r="A180" s="9">
        <v>179</v>
      </c>
      <c r="B180" s="16" t="s">
        <v>400</v>
      </c>
      <c r="C180" s="17" t="s">
        <v>466</v>
      </c>
      <c r="D180" s="9" t="s">
        <v>467</v>
      </c>
      <c r="E180" s="9" t="s">
        <v>17</v>
      </c>
      <c r="F180" s="9" t="s">
        <v>409</v>
      </c>
    </row>
    <row r="181" spans="1:6" ht="16" x14ac:dyDescent="0.2">
      <c r="A181" s="9">
        <v>180</v>
      </c>
      <c r="B181" s="16" t="s">
        <v>400</v>
      </c>
      <c r="C181" s="17" t="s">
        <v>468</v>
      </c>
      <c r="D181" s="9" t="s">
        <v>469</v>
      </c>
      <c r="E181" s="9" t="s">
        <v>12</v>
      </c>
      <c r="F181" s="9" t="s">
        <v>409</v>
      </c>
    </row>
    <row r="182" spans="1:6" ht="16" x14ac:dyDescent="0.2">
      <c r="A182" s="9">
        <v>181</v>
      </c>
      <c r="B182" s="16" t="s">
        <v>400</v>
      </c>
      <c r="C182" s="17" t="s">
        <v>470</v>
      </c>
      <c r="D182" s="9" t="s">
        <v>471</v>
      </c>
      <c r="E182" s="9" t="s">
        <v>16</v>
      </c>
      <c r="F182" s="9" t="s">
        <v>409</v>
      </c>
    </row>
    <row r="183" spans="1:6" ht="16" x14ac:dyDescent="0.2">
      <c r="A183" s="9">
        <v>182</v>
      </c>
      <c r="B183" s="16" t="s">
        <v>400</v>
      </c>
      <c r="C183" s="17" t="s">
        <v>472</v>
      </c>
      <c r="D183" s="9" t="s">
        <v>473</v>
      </c>
      <c r="E183" s="9" t="s">
        <v>16</v>
      </c>
      <c r="F183" s="9" t="s">
        <v>409</v>
      </c>
    </row>
    <row r="184" spans="1:6" ht="16" x14ac:dyDescent="0.2">
      <c r="A184" s="9">
        <v>183</v>
      </c>
      <c r="B184" s="16" t="s">
        <v>400</v>
      </c>
      <c r="C184" s="17" t="s">
        <v>474</v>
      </c>
      <c r="D184" s="9" t="s">
        <v>475</v>
      </c>
      <c r="E184" s="9" t="s">
        <v>15</v>
      </c>
      <c r="F184" s="9" t="s">
        <v>409</v>
      </c>
    </row>
    <row r="185" spans="1:6" ht="16" x14ac:dyDescent="0.2">
      <c r="A185" s="9">
        <v>184</v>
      </c>
      <c r="B185" s="16" t="s">
        <v>400</v>
      </c>
      <c r="C185" s="17" t="s">
        <v>476</v>
      </c>
      <c r="D185" s="9" t="s">
        <v>477</v>
      </c>
      <c r="E185" s="9" t="s">
        <v>15</v>
      </c>
      <c r="F185" s="9" t="s">
        <v>409</v>
      </c>
    </row>
    <row r="186" spans="1:6" ht="16" x14ac:dyDescent="0.2">
      <c r="A186" s="9">
        <v>185</v>
      </c>
      <c r="B186" s="16" t="s">
        <v>400</v>
      </c>
      <c r="C186" s="17" t="s">
        <v>478</v>
      </c>
      <c r="D186" s="9" t="s">
        <v>479</v>
      </c>
      <c r="E186" s="9" t="s">
        <v>36</v>
      </c>
      <c r="F186" s="9" t="s">
        <v>409</v>
      </c>
    </row>
    <row r="187" spans="1:6" ht="16" x14ac:dyDescent="0.2">
      <c r="A187" s="9">
        <v>186</v>
      </c>
      <c r="B187" s="16" t="s">
        <v>400</v>
      </c>
      <c r="C187" s="17" t="s">
        <v>480</v>
      </c>
      <c r="D187" s="9" t="s">
        <v>481</v>
      </c>
      <c r="E187" s="9" t="s">
        <v>29</v>
      </c>
      <c r="F187" s="9" t="s">
        <v>409</v>
      </c>
    </row>
    <row r="188" spans="1:6" ht="16" x14ac:dyDescent="0.2">
      <c r="A188" s="9">
        <v>187</v>
      </c>
      <c r="B188" s="16" t="s">
        <v>400</v>
      </c>
      <c r="C188" s="17" t="s">
        <v>482</v>
      </c>
      <c r="D188" s="9" t="s">
        <v>483</v>
      </c>
      <c r="E188" s="9" t="s">
        <v>12</v>
      </c>
      <c r="F188" s="9" t="s">
        <v>409</v>
      </c>
    </row>
    <row r="189" spans="1:6" ht="16" x14ac:dyDescent="0.2">
      <c r="A189" s="9">
        <v>188</v>
      </c>
      <c r="B189" s="16" t="s">
        <v>400</v>
      </c>
      <c r="C189" s="17" t="s">
        <v>484</v>
      </c>
      <c r="D189" s="9" t="s">
        <v>485</v>
      </c>
      <c r="E189" s="9" t="s">
        <v>12</v>
      </c>
      <c r="F189" s="9" t="s">
        <v>409</v>
      </c>
    </row>
    <row r="190" spans="1:6" ht="16" x14ac:dyDescent="0.2">
      <c r="A190" s="9">
        <v>189</v>
      </c>
      <c r="B190" s="16" t="s">
        <v>400</v>
      </c>
      <c r="C190" s="17" t="s">
        <v>486</v>
      </c>
      <c r="D190" s="9" t="s">
        <v>487</v>
      </c>
      <c r="E190" s="9" t="s">
        <v>30</v>
      </c>
      <c r="F190" s="9" t="s">
        <v>409</v>
      </c>
    </row>
    <row r="191" spans="1:6" ht="16" x14ac:dyDescent="0.2">
      <c r="A191" s="9">
        <v>190</v>
      </c>
      <c r="B191" s="16" t="s">
        <v>400</v>
      </c>
      <c r="C191" s="17" t="s">
        <v>488</v>
      </c>
      <c r="D191" s="9" t="s">
        <v>489</v>
      </c>
      <c r="E191" s="9" t="s">
        <v>21</v>
      </c>
      <c r="F191" s="9" t="s">
        <v>409</v>
      </c>
    </row>
    <row r="192" spans="1:6" ht="16" x14ac:dyDescent="0.2">
      <c r="A192" s="9">
        <v>191</v>
      </c>
      <c r="B192" s="16" t="s">
        <v>400</v>
      </c>
      <c r="C192" s="17" t="s">
        <v>490</v>
      </c>
      <c r="D192" s="9" t="s">
        <v>491</v>
      </c>
      <c r="E192" s="9" t="s">
        <v>17</v>
      </c>
      <c r="F192" s="9" t="s">
        <v>409</v>
      </c>
    </row>
    <row r="193" spans="1:6" ht="16" x14ac:dyDescent="0.2">
      <c r="A193" s="9">
        <v>192</v>
      </c>
      <c r="B193" s="16" t="s">
        <v>400</v>
      </c>
      <c r="C193" s="17" t="s">
        <v>492</v>
      </c>
      <c r="D193" s="9" t="s">
        <v>493</v>
      </c>
      <c r="E193" s="9" t="s">
        <v>36</v>
      </c>
      <c r="F193" s="9" t="s">
        <v>409</v>
      </c>
    </row>
    <row r="194" spans="1:6" ht="16" x14ac:dyDescent="0.2">
      <c r="A194" s="9">
        <v>193</v>
      </c>
      <c r="B194" s="16" t="s">
        <v>494</v>
      </c>
      <c r="C194" s="17" t="s">
        <v>495</v>
      </c>
      <c r="D194" s="9" t="s">
        <v>161</v>
      </c>
      <c r="E194" s="9" t="s">
        <v>12</v>
      </c>
      <c r="F194" s="9" t="s">
        <v>543</v>
      </c>
    </row>
    <row r="195" spans="1:6" ht="16" x14ac:dyDescent="0.2">
      <c r="A195" s="9">
        <v>194</v>
      </c>
      <c r="B195" s="16" t="s">
        <v>494</v>
      </c>
      <c r="C195" s="17" t="s">
        <v>496</v>
      </c>
      <c r="D195" s="9" t="s">
        <v>161</v>
      </c>
      <c r="E195" s="9" t="s">
        <v>12</v>
      </c>
      <c r="F195" s="9" t="s">
        <v>543</v>
      </c>
    </row>
    <row r="196" spans="1:6" ht="16" x14ac:dyDescent="0.2">
      <c r="A196" s="9">
        <v>195</v>
      </c>
      <c r="B196" s="16" t="s">
        <v>494</v>
      </c>
      <c r="C196" s="17" t="s">
        <v>497</v>
      </c>
      <c r="D196" s="9" t="s">
        <v>161</v>
      </c>
      <c r="E196" s="9" t="s">
        <v>12</v>
      </c>
      <c r="F196" s="9" t="s">
        <v>543</v>
      </c>
    </row>
    <row r="197" spans="1:6" ht="16" x14ac:dyDescent="0.2">
      <c r="A197" s="9">
        <v>196</v>
      </c>
      <c r="B197" s="16" t="s">
        <v>494</v>
      </c>
      <c r="C197" s="17" t="s">
        <v>498</v>
      </c>
      <c r="D197" s="9" t="s">
        <v>161</v>
      </c>
      <c r="E197" s="9" t="s">
        <v>12</v>
      </c>
      <c r="F197" s="9" t="s">
        <v>543</v>
      </c>
    </row>
    <row r="198" spans="1:6" ht="16" x14ac:dyDescent="0.2">
      <c r="A198" s="9">
        <v>197</v>
      </c>
      <c r="B198" s="16" t="s">
        <v>494</v>
      </c>
      <c r="C198" s="17" t="s">
        <v>499</v>
      </c>
      <c r="D198" s="9" t="s">
        <v>161</v>
      </c>
      <c r="E198" s="9" t="s">
        <v>12</v>
      </c>
      <c r="F198" s="9" t="s">
        <v>543</v>
      </c>
    </row>
    <row r="199" spans="1:6" ht="16" x14ac:dyDescent="0.2">
      <c r="A199" s="9">
        <v>198</v>
      </c>
      <c r="B199" s="16" t="s">
        <v>500</v>
      </c>
      <c r="C199" s="17" t="s">
        <v>501</v>
      </c>
      <c r="D199" s="9" t="s">
        <v>161</v>
      </c>
      <c r="E199" s="9" t="s">
        <v>12</v>
      </c>
      <c r="F199" s="9" t="s">
        <v>543</v>
      </c>
    </row>
    <row r="200" spans="1:6" ht="16" x14ac:dyDescent="0.2">
      <c r="A200" s="9">
        <v>199</v>
      </c>
      <c r="B200" s="16" t="s">
        <v>500</v>
      </c>
      <c r="C200" s="17" t="s">
        <v>502</v>
      </c>
      <c r="D200" s="9" t="s">
        <v>161</v>
      </c>
      <c r="E200" s="9" t="s">
        <v>12</v>
      </c>
      <c r="F200" s="9" t="s">
        <v>543</v>
      </c>
    </row>
    <row r="201" spans="1:6" ht="16" x14ac:dyDescent="0.2">
      <c r="A201" s="9">
        <v>200</v>
      </c>
      <c r="B201" s="16" t="s">
        <v>500</v>
      </c>
      <c r="C201" s="17" t="s">
        <v>503</v>
      </c>
      <c r="D201" s="9" t="s">
        <v>161</v>
      </c>
      <c r="E201" s="9" t="s">
        <v>12</v>
      </c>
      <c r="F201" s="9" t="s">
        <v>543</v>
      </c>
    </row>
    <row r="202" spans="1:6" ht="16" x14ac:dyDescent="0.2">
      <c r="A202" s="9">
        <v>201</v>
      </c>
      <c r="B202" s="16" t="s">
        <v>500</v>
      </c>
      <c r="C202" s="17" t="s">
        <v>504</v>
      </c>
      <c r="D202" s="9" t="s">
        <v>161</v>
      </c>
      <c r="E202" s="9" t="s">
        <v>12</v>
      </c>
      <c r="F202" s="9" t="s">
        <v>543</v>
      </c>
    </row>
    <row r="203" spans="1:6" ht="16" x14ac:dyDescent="0.2">
      <c r="A203" s="9">
        <v>202</v>
      </c>
      <c r="B203" s="16" t="s">
        <v>500</v>
      </c>
      <c r="C203" s="17" t="s">
        <v>505</v>
      </c>
      <c r="D203" s="9" t="s">
        <v>161</v>
      </c>
      <c r="E203" s="9" t="s">
        <v>12</v>
      </c>
      <c r="F203" s="9" t="s">
        <v>543</v>
      </c>
    </row>
    <row r="204" spans="1:6" ht="16" x14ac:dyDescent="0.2">
      <c r="A204" s="9">
        <v>203</v>
      </c>
      <c r="B204" s="16" t="s">
        <v>500</v>
      </c>
      <c r="C204" s="17" t="s">
        <v>506</v>
      </c>
      <c r="D204" s="9" t="s">
        <v>161</v>
      </c>
      <c r="E204" s="9" t="s">
        <v>12</v>
      </c>
      <c r="F204" s="9" t="s">
        <v>543</v>
      </c>
    </row>
    <row r="205" spans="1:6" ht="16" x14ac:dyDescent="0.2">
      <c r="A205" s="9">
        <v>204</v>
      </c>
      <c r="B205" s="16" t="s">
        <v>507</v>
      </c>
      <c r="C205" s="17" t="s">
        <v>508</v>
      </c>
      <c r="D205" s="9" t="s">
        <v>161</v>
      </c>
      <c r="E205" s="9" t="s">
        <v>12</v>
      </c>
      <c r="F205" s="9" t="s">
        <v>543</v>
      </c>
    </row>
    <row r="206" spans="1:6" ht="16" x14ac:dyDescent="0.2">
      <c r="A206" s="9">
        <v>205</v>
      </c>
      <c r="B206" s="16" t="s">
        <v>507</v>
      </c>
      <c r="C206" s="17" t="s">
        <v>509</v>
      </c>
      <c r="D206" s="9" t="s">
        <v>161</v>
      </c>
      <c r="E206" s="9" t="s">
        <v>12</v>
      </c>
      <c r="F206" s="9" t="s">
        <v>543</v>
      </c>
    </row>
    <row r="207" spans="1:6" ht="16" x14ac:dyDescent="0.2">
      <c r="A207" s="9">
        <v>206</v>
      </c>
      <c r="B207" s="16" t="s">
        <v>507</v>
      </c>
      <c r="C207" s="17" t="s">
        <v>510</v>
      </c>
      <c r="D207" s="9" t="s">
        <v>161</v>
      </c>
      <c r="E207" s="9" t="s">
        <v>12</v>
      </c>
      <c r="F207" s="9" t="s">
        <v>543</v>
      </c>
    </row>
    <row r="208" spans="1:6" ht="16" x14ac:dyDescent="0.2">
      <c r="A208" s="9">
        <v>207</v>
      </c>
      <c r="B208" s="16" t="s">
        <v>507</v>
      </c>
      <c r="C208" s="17" t="s">
        <v>511</v>
      </c>
      <c r="D208" s="9" t="s">
        <v>161</v>
      </c>
      <c r="E208" s="9" t="s">
        <v>12</v>
      </c>
      <c r="F208" s="9" t="s">
        <v>543</v>
      </c>
    </row>
    <row r="209" spans="1:6" ht="16" x14ac:dyDescent="0.2">
      <c r="A209" s="9">
        <v>208</v>
      </c>
      <c r="B209" s="16" t="s">
        <v>507</v>
      </c>
      <c r="C209" s="17" t="s">
        <v>512</v>
      </c>
      <c r="D209" s="9" t="s">
        <v>161</v>
      </c>
      <c r="E209" s="9" t="s">
        <v>12</v>
      </c>
      <c r="F209" s="9" t="s">
        <v>543</v>
      </c>
    </row>
    <row r="210" spans="1:6" ht="16" x14ac:dyDescent="0.2">
      <c r="A210" s="9">
        <v>209</v>
      </c>
      <c r="B210" s="16" t="s">
        <v>507</v>
      </c>
      <c r="C210" s="17" t="s">
        <v>513</v>
      </c>
      <c r="D210" s="9" t="s">
        <v>161</v>
      </c>
      <c r="E210" s="9" t="s">
        <v>12</v>
      </c>
      <c r="F210" s="9" t="s">
        <v>543</v>
      </c>
    </row>
    <row r="211" spans="1:6" ht="16" x14ac:dyDescent="0.2">
      <c r="A211" s="9">
        <v>210</v>
      </c>
      <c r="B211" s="16" t="s">
        <v>507</v>
      </c>
      <c r="C211" s="17" t="s">
        <v>514</v>
      </c>
      <c r="D211" s="9" t="s">
        <v>161</v>
      </c>
      <c r="E211" s="9" t="s">
        <v>12</v>
      </c>
      <c r="F211" s="9" t="s">
        <v>543</v>
      </c>
    </row>
    <row r="212" spans="1:6" ht="16" x14ac:dyDescent="0.2">
      <c r="A212" s="9">
        <v>211</v>
      </c>
      <c r="B212" s="16" t="s">
        <v>507</v>
      </c>
      <c r="C212" s="17" t="s">
        <v>515</v>
      </c>
      <c r="D212" s="9" t="s">
        <v>161</v>
      </c>
      <c r="E212" s="9" t="s">
        <v>12</v>
      </c>
      <c r="F212" s="9" t="s">
        <v>543</v>
      </c>
    </row>
    <row r="213" spans="1:6" ht="16" x14ac:dyDescent="0.2">
      <c r="A213" s="9">
        <v>212</v>
      </c>
      <c r="B213" s="16" t="s">
        <v>507</v>
      </c>
      <c r="C213" s="17" t="s">
        <v>516</v>
      </c>
      <c r="D213" s="9" t="s">
        <v>161</v>
      </c>
      <c r="E213" s="9" t="s">
        <v>12</v>
      </c>
      <c r="F213" s="9" t="s">
        <v>543</v>
      </c>
    </row>
    <row r="214" spans="1:6" ht="16" x14ac:dyDescent="0.2">
      <c r="A214" s="9">
        <v>213</v>
      </c>
      <c r="B214" s="16" t="s">
        <v>507</v>
      </c>
      <c r="C214" s="17" t="s">
        <v>517</v>
      </c>
      <c r="D214" s="9" t="s">
        <v>161</v>
      </c>
      <c r="E214" s="9" t="s">
        <v>12</v>
      </c>
      <c r="F214" s="9" t="s">
        <v>543</v>
      </c>
    </row>
    <row r="215" spans="1:6" ht="16" x14ac:dyDescent="0.2">
      <c r="A215" s="9">
        <v>214</v>
      </c>
      <c r="B215" s="16" t="s">
        <v>507</v>
      </c>
      <c r="C215" s="17" t="s">
        <v>518</v>
      </c>
      <c r="D215" s="9" t="s">
        <v>161</v>
      </c>
      <c r="E215" s="9" t="s">
        <v>12</v>
      </c>
      <c r="F215" s="9" t="s">
        <v>543</v>
      </c>
    </row>
    <row r="216" spans="1:6" ht="16" x14ac:dyDescent="0.2">
      <c r="A216" s="9">
        <v>215</v>
      </c>
      <c r="B216" s="16" t="s">
        <v>507</v>
      </c>
      <c r="C216" s="17" t="s">
        <v>519</v>
      </c>
      <c r="D216" s="9" t="s">
        <v>161</v>
      </c>
      <c r="E216" s="9" t="s">
        <v>12</v>
      </c>
      <c r="F216" s="9" t="s">
        <v>543</v>
      </c>
    </row>
    <row r="217" spans="1:6" ht="16" x14ac:dyDescent="0.2">
      <c r="A217" s="9">
        <v>216</v>
      </c>
      <c r="B217" s="16" t="s">
        <v>507</v>
      </c>
      <c r="C217" s="17" t="s">
        <v>520</v>
      </c>
      <c r="D217" s="9" t="s">
        <v>521</v>
      </c>
      <c r="E217" s="9" t="s">
        <v>15</v>
      </c>
      <c r="F217" s="9" t="s">
        <v>522</v>
      </c>
    </row>
    <row r="218" spans="1:6" ht="16" x14ac:dyDescent="0.2">
      <c r="A218" s="9">
        <v>217</v>
      </c>
      <c r="B218" s="16" t="s">
        <v>507</v>
      </c>
      <c r="C218" s="17" t="s">
        <v>523</v>
      </c>
      <c r="D218" s="9" t="s">
        <v>524</v>
      </c>
      <c r="E218" s="9" t="s">
        <v>12</v>
      </c>
      <c r="F218" s="9" t="s">
        <v>525</v>
      </c>
    </row>
    <row r="219" spans="1:6" ht="16" x14ac:dyDescent="0.2">
      <c r="A219" s="9">
        <v>218</v>
      </c>
      <c r="B219" s="16" t="s">
        <v>507</v>
      </c>
      <c r="C219" s="17" t="s">
        <v>526</v>
      </c>
      <c r="D219" s="9" t="s">
        <v>527</v>
      </c>
      <c r="E219" s="9" t="s">
        <v>36</v>
      </c>
      <c r="F219" s="9" t="s">
        <v>528</v>
      </c>
    </row>
    <row r="220" spans="1:6" ht="16" x14ac:dyDescent="0.2">
      <c r="A220" s="9">
        <v>219</v>
      </c>
      <c r="B220" s="16" t="s">
        <v>507</v>
      </c>
      <c r="C220" s="17" t="s">
        <v>529</v>
      </c>
      <c r="D220" s="9" t="s">
        <v>530</v>
      </c>
      <c r="E220" s="9" t="s">
        <v>24</v>
      </c>
      <c r="F220" s="9" t="s">
        <v>531</v>
      </c>
    </row>
    <row r="221" spans="1:6" ht="16" x14ac:dyDescent="0.2">
      <c r="A221" s="9">
        <v>220</v>
      </c>
      <c r="B221" s="16" t="s">
        <v>507</v>
      </c>
      <c r="C221" s="17" t="s">
        <v>532</v>
      </c>
      <c r="D221" s="9" t="s">
        <v>533</v>
      </c>
      <c r="E221" s="9" t="s">
        <v>15</v>
      </c>
      <c r="F221" s="9" t="s">
        <v>534</v>
      </c>
    </row>
    <row r="222" spans="1:6" ht="16" x14ac:dyDescent="0.2">
      <c r="A222" s="9">
        <v>221</v>
      </c>
      <c r="B222" s="16" t="s">
        <v>507</v>
      </c>
      <c r="C222" s="17" t="s">
        <v>535</v>
      </c>
      <c r="D222" s="9" t="s">
        <v>536</v>
      </c>
      <c r="E222" s="9" t="s">
        <v>16</v>
      </c>
      <c r="F222" s="9" t="s">
        <v>537</v>
      </c>
    </row>
    <row r="223" spans="1:6" ht="16" x14ac:dyDescent="0.2">
      <c r="A223" s="9">
        <v>222</v>
      </c>
      <c r="B223" s="16" t="s">
        <v>507</v>
      </c>
      <c r="C223" s="17" t="s">
        <v>538</v>
      </c>
      <c r="D223" s="9" t="s">
        <v>539</v>
      </c>
      <c r="E223" s="9" t="s">
        <v>28</v>
      </c>
      <c r="F223" s="9" t="s">
        <v>540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EDE4-204B-6D4A-974C-9BE1CDEBAAE4}">
  <dimension ref="A1:C45"/>
  <sheetViews>
    <sheetView topLeftCell="A15" workbookViewId="0">
      <selection activeCell="A34" sqref="A34"/>
    </sheetView>
  </sheetViews>
  <sheetFormatPr baseColWidth="10" defaultRowHeight="15" x14ac:dyDescent="0.2"/>
  <cols>
    <col min="1" max="1" width="59.1640625" bestFit="1" customWidth="1"/>
    <col min="2" max="2" width="14.6640625" bestFit="1" customWidth="1"/>
    <col min="3" max="3" width="42.83203125" bestFit="1" customWidth="1"/>
  </cols>
  <sheetData>
    <row r="1" spans="1:3" ht="19" x14ac:dyDescent="0.25">
      <c r="A1" s="1" t="s">
        <v>0</v>
      </c>
    </row>
    <row r="2" spans="1:3" x14ac:dyDescent="0.2">
      <c r="A2" t="s">
        <v>1</v>
      </c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t="s">
        <v>5</v>
      </c>
      <c r="B5">
        <f>COUNTIF('[1]Laporan Data'!$E:$E,C5)</f>
        <v>5</v>
      </c>
      <c r="C5" t="s">
        <v>5</v>
      </c>
    </row>
    <row r="6" spans="1:3" x14ac:dyDescent="0.2">
      <c r="A6" t="s">
        <v>6</v>
      </c>
      <c r="B6">
        <f>COUNTIF('[1]Laporan Data'!$E:$E,C6)</f>
        <v>3</v>
      </c>
      <c r="C6" t="s">
        <v>6</v>
      </c>
    </row>
    <row r="7" spans="1:3" x14ac:dyDescent="0.2">
      <c r="A7" t="s">
        <v>7</v>
      </c>
      <c r="B7">
        <f>COUNTIF('[1]Laporan Data'!$E:$E,C7)</f>
        <v>4</v>
      </c>
      <c r="C7" t="s">
        <v>7</v>
      </c>
    </row>
    <row r="8" spans="1:3" x14ac:dyDescent="0.2">
      <c r="A8" t="s">
        <v>8</v>
      </c>
      <c r="B8">
        <f>COUNTIF('[1]Laporan Data'!$E:$E,C8)</f>
        <v>2</v>
      </c>
      <c r="C8" t="s">
        <v>8</v>
      </c>
    </row>
    <row r="9" spans="1:3" x14ac:dyDescent="0.2">
      <c r="A9" t="s">
        <v>9</v>
      </c>
      <c r="B9">
        <f>COUNTIF('[1]Laporan Data'!$E:$E,C9)</f>
        <v>4</v>
      </c>
      <c r="C9" t="s">
        <v>10</v>
      </c>
    </row>
    <row r="10" spans="1:3" x14ac:dyDescent="0.2">
      <c r="A10" t="s">
        <v>11</v>
      </c>
      <c r="B10">
        <f>COUNTIF('[1]Laporan Data'!$E:$E,C10)</f>
        <v>74</v>
      </c>
      <c r="C10" t="s">
        <v>12</v>
      </c>
    </row>
    <row r="11" spans="1:3" x14ac:dyDescent="0.2">
      <c r="A11" t="s">
        <v>13</v>
      </c>
      <c r="B11">
        <f>COUNTIF('[1]Laporan Data'!$E:$E,C11)</f>
        <v>2</v>
      </c>
      <c r="C11" t="s">
        <v>13</v>
      </c>
    </row>
    <row r="12" spans="1:3" x14ac:dyDescent="0.2">
      <c r="A12" t="s">
        <v>14</v>
      </c>
      <c r="B12">
        <f>COUNTIF('[1]Laporan Data'!$E:$E,C12)</f>
        <v>2</v>
      </c>
      <c r="C12" t="s">
        <v>14</v>
      </c>
    </row>
    <row r="13" spans="1:3" x14ac:dyDescent="0.2">
      <c r="A13" t="s">
        <v>15</v>
      </c>
      <c r="B13">
        <f>COUNTIF('[1]Laporan Data'!$E:$E,C13)</f>
        <v>12</v>
      </c>
      <c r="C13" t="s">
        <v>15</v>
      </c>
    </row>
    <row r="14" spans="1:3" x14ac:dyDescent="0.2">
      <c r="A14" t="s">
        <v>16</v>
      </c>
      <c r="B14">
        <f>COUNTIF('[1]Laporan Data'!$E:$E,C14)</f>
        <v>14</v>
      </c>
      <c r="C14" t="s">
        <v>16</v>
      </c>
    </row>
    <row r="15" spans="1:3" x14ac:dyDescent="0.2">
      <c r="A15" t="s">
        <v>17</v>
      </c>
      <c r="B15">
        <f>COUNTIF('[1]Laporan Data'!$E:$E,C15)</f>
        <v>8</v>
      </c>
      <c r="C15" t="s">
        <v>17</v>
      </c>
    </row>
    <row r="16" spans="1:3" x14ac:dyDescent="0.2">
      <c r="A16" t="s">
        <v>18</v>
      </c>
      <c r="B16">
        <f>COUNTIF('[1]Laporan Data'!$E:$E,C16)</f>
        <v>3</v>
      </c>
      <c r="C16" t="s">
        <v>18</v>
      </c>
    </row>
    <row r="17" spans="1:3" x14ac:dyDescent="0.2">
      <c r="A17" t="s">
        <v>19</v>
      </c>
      <c r="B17">
        <f>COUNTIF('[1]Laporan Data'!$E:$E,C17)</f>
        <v>5</v>
      </c>
      <c r="C17" t="s">
        <v>19</v>
      </c>
    </row>
    <row r="18" spans="1:3" x14ac:dyDescent="0.2">
      <c r="A18" t="s">
        <v>20</v>
      </c>
      <c r="B18">
        <f>COUNTIF('[1]Laporan Data'!$E:$E,C18)</f>
        <v>3</v>
      </c>
      <c r="C18" t="s">
        <v>20</v>
      </c>
    </row>
    <row r="19" spans="1:3" x14ac:dyDescent="0.2">
      <c r="A19" t="s">
        <v>21</v>
      </c>
      <c r="B19">
        <f>COUNTIF('[1]Laporan Data'!$E:$E,C19)</f>
        <v>4</v>
      </c>
      <c r="C19" t="s">
        <v>21</v>
      </c>
    </row>
    <row r="20" spans="1:3" x14ac:dyDescent="0.2">
      <c r="A20" t="s">
        <v>22</v>
      </c>
      <c r="B20">
        <f>COUNTIF('[1]Laporan Data'!$E:$E,C20)</f>
        <v>1</v>
      </c>
      <c r="C20" t="s">
        <v>22</v>
      </c>
    </row>
    <row r="21" spans="1:3" x14ac:dyDescent="0.2">
      <c r="A21" t="s">
        <v>23</v>
      </c>
      <c r="B21">
        <f>COUNTIF('[1]Laporan Data'!$E:$E,C21)</f>
        <v>2</v>
      </c>
      <c r="C21" t="s">
        <v>23</v>
      </c>
    </row>
    <row r="22" spans="1:3" x14ac:dyDescent="0.2">
      <c r="A22" t="s">
        <v>24</v>
      </c>
      <c r="B22">
        <f>COUNTIF('[1]Laporan Data'!$E:$E,C22)</f>
        <v>6</v>
      </c>
      <c r="C22" t="s">
        <v>24</v>
      </c>
    </row>
    <row r="23" spans="1:3" x14ac:dyDescent="0.2">
      <c r="A23" t="s">
        <v>25</v>
      </c>
      <c r="B23">
        <f>COUNTIF('[1]Laporan Data'!$E:$E,C23)</f>
        <v>2</v>
      </c>
      <c r="C23" t="s">
        <v>25</v>
      </c>
    </row>
    <row r="24" spans="1:3" x14ac:dyDescent="0.2">
      <c r="A24" t="s">
        <v>26</v>
      </c>
      <c r="B24">
        <f>COUNTIF('[1]Laporan Data'!$E:$E,C24)</f>
        <v>4</v>
      </c>
      <c r="C24" t="s">
        <v>26</v>
      </c>
    </row>
    <row r="25" spans="1:3" x14ac:dyDescent="0.2">
      <c r="A25" t="s">
        <v>27</v>
      </c>
      <c r="B25">
        <f>COUNTIF('[1]Laporan Data'!$E:$E,C25)</f>
        <v>2</v>
      </c>
      <c r="C25" t="s">
        <v>27</v>
      </c>
    </row>
    <row r="26" spans="1:3" x14ac:dyDescent="0.2">
      <c r="A26" t="s">
        <v>28</v>
      </c>
      <c r="B26">
        <f>COUNTIF('[1]Laporan Data'!$E:$E,C26)</f>
        <v>3</v>
      </c>
      <c r="C26" t="s">
        <v>28</v>
      </c>
    </row>
    <row r="27" spans="1:3" x14ac:dyDescent="0.2">
      <c r="A27" t="s">
        <v>29</v>
      </c>
      <c r="B27">
        <f>COUNTIF('[1]Laporan Data'!$E:$E,C27)</f>
        <v>5</v>
      </c>
      <c r="C27" t="s">
        <v>29</v>
      </c>
    </row>
    <row r="28" spans="1:3" x14ac:dyDescent="0.2">
      <c r="A28" t="s">
        <v>30</v>
      </c>
      <c r="B28">
        <f>COUNTIF('[1]Laporan Data'!$E:$E,C28)</f>
        <v>5</v>
      </c>
      <c r="C28" t="s">
        <v>30</v>
      </c>
    </row>
    <row r="29" spans="1:3" x14ac:dyDescent="0.2">
      <c r="A29" t="s">
        <v>31</v>
      </c>
      <c r="B29">
        <f>COUNTIF('[1]Laporan Data'!$E:$E,C29)</f>
        <v>1</v>
      </c>
      <c r="C29" t="s">
        <v>31</v>
      </c>
    </row>
    <row r="30" spans="1:3" x14ac:dyDescent="0.2">
      <c r="A30" t="s">
        <v>32</v>
      </c>
      <c r="B30">
        <f>COUNTIF('[1]Laporan Data'!$E:$E,C30)</f>
        <v>2</v>
      </c>
      <c r="C30" t="s">
        <v>32</v>
      </c>
    </row>
    <row r="31" spans="1:3" x14ac:dyDescent="0.2">
      <c r="A31" t="s">
        <v>33</v>
      </c>
      <c r="B31">
        <f>COUNTIF('[1]Laporan Data'!$E:$E,C31)</f>
        <v>1</v>
      </c>
      <c r="C31" t="s">
        <v>33</v>
      </c>
    </row>
    <row r="32" spans="1:3" x14ac:dyDescent="0.2">
      <c r="A32" t="s">
        <v>34</v>
      </c>
      <c r="B32">
        <f>COUNTIF('[1]Laporan Data'!$E:$E,C32)</f>
        <v>4</v>
      </c>
      <c r="C32" t="s">
        <v>34</v>
      </c>
    </row>
    <row r="33" spans="1:3" x14ac:dyDescent="0.2">
      <c r="A33" t="s">
        <v>35</v>
      </c>
      <c r="B33">
        <f>COUNTIF('[1]Laporan Data'!$E:$E,C33)</f>
        <v>1</v>
      </c>
      <c r="C33" t="s">
        <v>35</v>
      </c>
    </row>
    <row r="34" spans="1:3" x14ac:dyDescent="0.2">
      <c r="A34" t="s">
        <v>36</v>
      </c>
      <c r="B34">
        <f>COUNTIF('[1]Laporan Data'!$E:$E,C34)</f>
        <v>10</v>
      </c>
      <c r="C34" t="s">
        <v>36</v>
      </c>
    </row>
    <row r="35" spans="1:3" x14ac:dyDescent="0.2">
      <c r="A35" t="s">
        <v>37</v>
      </c>
      <c r="B35">
        <f>COUNTIF('[1]Laporan Data'!$E:$E,C35)</f>
        <v>4</v>
      </c>
      <c r="C35" t="s">
        <v>37</v>
      </c>
    </row>
    <row r="36" spans="1:3" x14ac:dyDescent="0.2">
      <c r="A36" t="s">
        <v>38</v>
      </c>
      <c r="B36">
        <f>COUNTIF('[1]Laporan Data'!$E:$E,C36)</f>
        <v>2</v>
      </c>
      <c r="C36" t="s">
        <v>38</v>
      </c>
    </row>
    <row r="37" spans="1:3" x14ac:dyDescent="0.2">
      <c r="A37" t="s">
        <v>39</v>
      </c>
      <c r="B37">
        <f>COUNTIF('[1]Laporan Data'!$E:$E,C37)</f>
        <v>6</v>
      </c>
      <c r="C37" t="s">
        <v>39</v>
      </c>
    </row>
    <row r="38" spans="1:3" x14ac:dyDescent="0.2">
      <c r="A38" t="s">
        <v>40</v>
      </c>
      <c r="B38">
        <f>COUNTIF('[1]Laporan Data'!$E:$E,C38)</f>
        <v>4</v>
      </c>
      <c r="C38" t="s">
        <v>40</v>
      </c>
    </row>
    <row r="39" spans="1:3" x14ac:dyDescent="0.2">
      <c r="A39" t="s">
        <v>41</v>
      </c>
      <c r="B39">
        <f>COUNTIF('[1]Laporan Data'!$E:$E,C39)</f>
        <v>7</v>
      </c>
      <c r="C39" t="s">
        <v>41</v>
      </c>
    </row>
    <row r="40" spans="1:3" x14ac:dyDescent="0.2">
      <c r="A40" t="s">
        <v>42</v>
      </c>
      <c r="B40">
        <f>COUNTIF('[1]Laporan Data'!$E:$E,C40)</f>
        <v>5</v>
      </c>
      <c r="C40" t="s">
        <v>42</v>
      </c>
    </row>
    <row r="41" spans="1:3" x14ac:dyDescent="0.2">
      <c r="A41" s="3" t="s">
        <v>43</v>
      </c>
      <c r="B41" s="3">
        <f>SUM(B5:B40)</f>
        <v>222</v>
      </c>
    </row>
    <row r="43" spans="1:3" x14ac:dyDescent="0.2">
      <c r="A43" s="3" t="s">
        <v>44</v>
      </c>
    </row>
    <row r="44" spans="1:3" x14ac:dyDescent="0.2">
      <c r="A44" t="s">
        <v>45</v>
      </c>
    </row>
    <row r="45" spans="1:3" x14ac:dyDescent="0.2">
      <c r="A45" s="3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UPT</vt:lpstr>
      <vt:lpstr>Peta UPT per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amujaki</dc:creator>
  <cp:lastModifiedBy>mohamad amujaki</cp:lastModifiedBy>
  <dcterms:created xsi:type="dcterms:W3CDTF">2026-09-12T23:45:40Z</dcterms:created>
  <dcterms:modified xsi:type="dcterms:W3CDTF">2026-09-13T02:48:13Z</dcterms:modified>
</cp:coreProperties>
</file>